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Datos_brutos" sheetId="2" state="visible" r:id="rId2"/>
    <sheet xmlns:r="http://schemas.openxmlformats.org/officeDocument/2006/relationships" name="02_Descriptiva" sheetId="3" state="visible" r:id="rId3"/>
    <sheet xmlns:r="http://schemas.openxmlformats.org/officeDocument/2006/relationships" name="03_Kruskal_Wallis" sheetId="4" state="visible" r:id="rId4"/>
    <sheet xmlns:r="http://schemas.openxmlformats.org/officeDocument/2006/relationships" name="04_Mann_Whitney" sheetId="5" state="visible" r:id="rId5"/>
    <sheet xmlns:r="http://schemas.openxmlformats.org/officeDocument/2006/relationships" name="05_Fisher_Chi" sheetId="6" state="visible" r:id="rId6"/>
    <sheet xmlns:r="http://schemas.openxmlformats.org/officeDocument/2006/relationships" name="06_TOPSIS_A_sin_pen" sheetId="7" state="visible" r:id="rId7"/>
    <sheet xmlns:r="http://schemas.openxmlformats.org/officeDocument/2006/relationships" name="07_TOPSIS_B_con_pen" sheetId="8" state="visible" r:id="rId8"/>
    <sheet xmlns:r="http://schemas.openxmlformats.org/officeDocument/2006/relationships" name="08_Monte_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00"/>
    <numFmt numFmtId="166" formatCode="0.000"/>
    <numFmt numFmtId="167" formatCode="0.00000"/>
    <numFmt numFmtId="168" formatCode="0.0%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4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164" fontId="5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164" fontId="5" fillId="4" borderId="0" pivotButton="0" quotePrefix="0" xfId="0"/>
    <xf numFmtId="0" fontId="2" fillId="0" borderId="0" pivotButton="0" quotePrefix="0" xfId="0"/>
    <xf numFmtId="164" fontId="5" fillId="0" borderId="0" pivotButton="0" quotePrefix="0" xfId="0"/>
    <xf numFmtId="0" fontId="0" fillId="6" borderId="0" pivotButton="0" quotePrefix="0" xfId="0"/>
    <xf numFmtId="0" fontId="2" fillId="6" borderId="0" pivotButton="0" quotePrefix="0" xfId="0"/>
    <xf numFmtId="164" fontId="5" fillId="6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166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66" fontId="0" fillId="3" borderId="0" pivotButton="0" quotePrefix="0" xfId="0"/>
    <xf numFmtId="2" fontId="0" fillId="3" borderId="0" pivotButton="0" quotePrefix="0" xfId="0"/>
    <xf numFmtId="169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4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0" fontId="4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3" fillId="4" borderId="0" pivotButton="0" quotePrefix="0" xfId="0"/>
    <xf numFmtId="0" fontId="3" fillId="4" borderId="0" pivotButton="0" quotePrefix="0" xfId="0"/>
    <xf numFmtId="165" fontId="3" fillId="4" borderId="0" pivotButton="0" quotePrefix="0" xfId="0"/>
    <xf numFmtId="0" fontId="4" fillId="4" borderId="0" pivotButton="0" quotePrefix="0" xfId="0"/>
    <xf numFmtId="2" fontId="4" fillId="0" borderId="0" pivotButton="0" quotePrefix="0" xfId="0"/>
    <xf numFmtId="166" fontId="3" fillId="0" borderId="0" pivotButton="0" quotePrefix="0" xfId="0"/>
    <xf numFmtId="11" fontId="3" fillId="0" borderId="0" pivotButton="0" quotePrefix="0" xfId="0"/>
    <xf numFmtId="11" fontId="4" fillId="0" borderId="0" pivotButton="0" quotePrefix="0" xfId="0"/>
    <xf numFmtId="0" fontId="2" fillId="5" borderId="0" pivotButton="0" quotePrefix="0" xfId="0"/>
    <xf numFmtId="0" fontId="0" fillId="5" borderId="0" pivotButton="0" quotePrefix="0" xfId="0"/>
    <xf numFmtId="165" fontId="4" fillId="0" borderId="0" pivotButton="0" quotePrefix="0" xfId="0"/>
    <xf numFmtId="11" fontId="3" fillId="3" borderId="0" pivotButton="0" quotePrefix="0" xfId="0"/>
    <xf numFmtId="167" fontId="4" fillId="0" borderId="0" pivotButton="0" quotePrefix="0" xfId="0"/>
    <xf numFmtId="168" fontId="3" fillId="0" borderId="0" pivotButton="0" quotePrefix="0" xfId="0"/>
    <xf numFmtId="2" fontId="3" fillId="0" borderId="0" pivotButton="0" quotePrefix="0" xfId="0"/>
    <xf numFmtId="168" fontId="3" fillId="4" borderId="0" pivotButton="0" quotePrefix="0" xfId="0"/>
    <xf numFmtId="2" fontId="3" fillId="4" borderId="0" pivotButton="0" quotePrefix="0" xfId="0"/>
    <xf numFmtId="168" fontId="3" fillId="3" borderId="0" pivotButton="0" quotePrefix="0" xfId="0"/>
    <xf numFmtId="2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Closeness Coefficient: TOPSIS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'00_Dashboard'!B55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'00_Dashboard'!$A$56:$A$60</f>
            </numRef>
          </cat>
          <val>
            <numRef>
              <f>'00_Dashboard'!$B$56:$B$60</f>
            </numRef>
          </val>
        </ser>
        <ser>
          <idx val="1"/>
          <order val="1"/>
          <tx>
            <strRef>
              <f>'00_Dashboard'!C55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'00_Dashboard'!$A$56:$A$60</f>
            </numRef>
          </cat>
          <val>
            <numRef>
              <f>'00_Dashboard'!$C$56:$C$60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Tasa de éxito η_s por método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'00_Dashboard'!B63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'00_Dashboard'!$A$64:$A$68</f>
            </numRef>
          </cat>
          <val>
            <numRef>
              <f>'00_Dashboard'!$B$64:$B$68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η_s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36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DASHBOARD - ANALISIS NAVEGACION SOCIAL ROBOT AGRICOLA</t>
        </is>
      </c>
    </row>
    <row r="3">
      <c r="A3" s="2" t="inlineStr">
        <is>
          <t>Estudio de gemelo digital Unity-MATLAB | 184 corridas | 5 métodos × 4 escenarios × 10 corridas</t>
        </is>
      </c>
    </row>
    <row r="5">
      <c r="A5" s="3" t="inlineStr">
        <is>
          <t>RANKING FINAL (TOPSIS)</t>
        </is>
      </c>
    </row>
    <row r="6">
      <c r="A6" s="4" t="inlineStr">
        <is>
          <t>Pos.</t>
        </is>
      </c>
      <c r="B6" s="4" t="inlineStr">
        <is>
          <t>Método</t>
        </is>
      </c>
      <c r="C6" s="4" t="inlineStr">
        <is>
          <t>CC sin pen.</t>
        </is>
      </c>
      <c r="D6" s="4" t="inlineStr">
        <is>
          <t>CC con pen.</t>
        </is>
      </c>
      <c r="E6" s="4" t="inlineStr">
        <is>
          <t>Notas</t>
        </is>
      </c>
    </row>
    <row r="7">
      <c r="A7" s="5" t="n">
        <v>1</v>
      </c>
      <c r="B7" s="6" t="inlineStr">
        <is>
          <t>M4</t>
        </is>
      </c>
      <c r="C7" s="7" t="n">
        <v>0.8038839255485882</v>
      </c>
      <c r="D7" s="7" t="n">
        <v>0.8009073570543973</v>
      </c>
      <c r="E7" s="5" t="inlineStr">
        <is>
          <t>GANADOR: campos sociales continuos + supervisor (PROPUESTO)</t>
        </is>
      </c>
    </row>
    <row r="8">
      <c r="A8" s="8" t="n">
        <v>2</v>
      </c>
      <c r="B8" s="9" t="inlineStr">
        <is>
          <t>M3</t>
        </is>
      </c>
      <c r="C8" s="10" t="n">
        <v>0.8033267492584426</v>
      </c>
      <c r="D8" s="10" t="n">
        <v>0.796347936292074</v>
      </c>
      <c r="E8" s="8" t="inlineStr">
        <is>
          <t>Campos sociales sin supervisor (close 2nd, 100% éxito)</t>
        </is>
      </c>
    </row>
    <row r="9">
      <c r="A9" t="n">
        <v>3</v>
      </c>
      <c r="B9" s="11" t="inlineStr">
        <is>
          <t>M0</t>
        </is>
      </c>
      <c r="C9" s="12" t="n">
        <v>0.6488006143126221</v>
      </c>
      <c r="D9" s="12" t="n">
        <v>0.663292549077024</v>
      </c>
      <c r="E9" t="inlineStr">
        <is>
          <t>NavMesh puro - intermedio</t>
        </is>
      </c>
    </row>
    <row r="10">
      <c r="A10" t="n">
        <v>4</v>
      </c>
      <c r="B10" s="11" t="inlineStr">
        <is>
          <t>M2</t>
        </is>
      </c>
      <c r="C10" s="12" t="n">
        <v>0.5259810914623703</v>
      </c>
      <c r="D10" s="12" t="n">
        <v>0.2268341840731095</v>
      </c>
      <c r="E10" t="inlineStr">
        <is>
          <t>Supervisor binario distancia+orientación - bloqueo en E4</t>
        </is>
      </c>
    </row>
    <row r="11">
      <c r="A11" s="13" t="n">
        <v>5</v>
      </c>
      <c r="B11" s="14" t="inlineStr">
        <is>
          <t>M1</t>
        </is>
      </c>
      <c r="C11" s="15" t="n">
        <v>0.1519345902935414</v>
      </c>
      <c r="D11" s="15" t="n">
        <v>0.07648456343046643</v>
      </c>
      <c r="E11" s="13" t="inlineStr">
        <is>
          <t>Supervisor binario distancia - bloqueo severo en E4</t>
        </is>
      </c>
    </row>
    <row r="13">
      <c r="A13" s="3" t="inlineStr">
        <is>
          <t>HIPOTESIS Y RESULTADOS CLAVE</t>
        </is>
      </c>
    </row>
    <row r="14">
      <c r="A14" s="4" t="inlineStr">
        <is>
          <t>Hipótesis</t>
        </is>
      </c>
      <c r="B14" s="4" t="inlineStr">
        <is>
          <t>Resultado</t>
        </is>
      </c>
      <c r="C14" s="4" t="inlineStr">
        <is>
          <t>Estadístico</t>
        </is>
      </c>
      <c r="D14" s="4" t="inlineStr">
        <is>
          <t>p-valor</t>
        </is>
      </c>
      <c r="E14" s="4" t="inlineStr">
        <is>
          <t>Conclusión</t>
        </is>
      </c>
    </row>
    <row r="15">
      <c r="A15" s="11" t="inlineStr">
        <is>
          <t>H1: M0 invade zona íntima</t>
        </is>
      </c>
      <c r="B15" s="5" t="inlineStr">
        <is>
          <t>Confirmada</t>
        </is>
      </c>
      <c r="C15" s="16" t="inlineStr">
        <is>
          <t>KW H=0.23</t>
        </is>
      </c>
      <c r="D15" s="17" t="inlineStr">
        <is>
          <t>1.24e-01</t>
        </is>
      </c>
      <c r="E15" s="18" t="inlineStr">
        <is>
          <t>M0 muestra T_intimo &gt; 0 frecuentemente</t>
        </is>
      </c>
    </row>
    <row r="16">
      <c r="A16" s="11" t="inlineStr">
        <is>
          <t>H2: M1/M2 mejoran d* en E2/E3</t>
        </is>
      </c>
      <c r="B16" s="8" t="inlineStr">
        <is>
          <t>Parcial</t>
        </is>
      </c>
      <c r="C16" s="16" t="inlineStr">
        <is>
          <t>MW pareado</t>
        </is>
      </c>
      <c r="D16" s="17" t="inlineStr">
        <is>
          <t>&lt;0.05</t>
        </is>
      </c>
      <c r="E16" s="18" t="inlineStr">
        <is>
          <t>Mejora local pero genera bloqueos en E4</t>
        </is>
      </c>
    </row>
    <row r="17">
      <c r="A17" s="11" t="inlineStr">
        <is>
          <t>H3: M3 ofrece d* mayor</t>
        </is>
      </c>
      <c r="B17" s="5" t="inlineStr">
        <is>
          <t>Confirmada</t>
        </is>
      </c>
      <c r="C17" s="16" t="inlineStr">
        <is>
          <t>KW H=115.30</t>
        </is>
      </c>
      <c r="D17" s="17" t="inlineStr">
        <is>
          <t>5.39e-24</t>
        </is>
      </c>
      <c r="E17" s="18" t="inlineStr">
        <is>
          <t>M3 d*=1.004m &gt; otros</t>
        </is>
      </c>
    </row>
    <row r="18">
      <c r="A18" s="11" t="inlineStr">
        <is>
          <t>H4: M4 mejora suavidad</t>
        </is>
      </c>
      <c r="B18" s="5" t="inlineStr">
        <is>
          <t>CONFIRMADA FUERTE</t>
        </is>
      </c>
      <c r="C18" s="16" t="inlineStr">
        <is>
          <t>KW H=164.97</t>
        </is>
      </c>
      <c r="D18" s="17" t="inlineStr">
        <is>
          <t>1.25e-34</t>
        </is>
      </c>
      <c r="E18" s="18" t="inlineStr">
        <is>
          <t>M4 σ_v=0.195 &lt; M3=0.243</t>
        </is>
      </c>
    </row>
    <row r="19">
      <c r="A19" s="11" t="inlineStr">
        <is>
          <t>H5: M4 reduce N_stop</t>
        </is>
      </c>
      <c r="B19" s="5" t="inlineStr">
        <is>
          <t>Confirmada vs M1/M2</t>
        </is>
      </c>
      <c r="C19" s="16" t="inlineStr">
        <is>
          <t>KW H=124.19</t>
        </is>
      </c>
      <c r="D19" s="17" t="inlineStr">
        <is>
          <t>1.08e-31</t>
        </is>
      </c>
      <c r="E19" s="18" t="inlineStr">
        <is>
          <t>M4 N_stop=0.2 &lt;&lt; M1=9.9</t>
        </is>
      </c>
    </row>
    <row r="20">
      <c r="A20" s="11" t="inlineStr">
        <is>
          <t>H6: M4 mejora η_s en E4</t>
        </is>
      </c>
      <c r="B20" s="5" t="inlineStr">
        <is>
          <t>CONFIRMADA FUERTE</t>
        </is>
      </c>
      <c r="C20" s="16" t="inlineStr">
        <is>
          <t>Chi²=26.09 V=0.361</t>
        </is>
      </c>
      <c r="D20" s="17" t="inlineStr">
        <is>
          <t>3.04e-05</t>
        </is>
      </c>
      <c r="E20" s="18" t="inlineStr">
        <is>
          <t>Fisher M4vsM1: p=7.14e-04</t>
        </is>
      </c>
    </row>
    <row r="22">
      <c r="A22" s="3" t="inlineStr">
        <is>
          <t>METRICAS CLAVE POR METODO (medias)</t>
        </is>
      </c>
    </row>
    <row r="23">
      <c r="A23" s="4" t="inlineStr">
        <is>
          <t>Método</t>
        </is>
      </c>
      <c r="B23" s="4" t="inlineStr">
        <is>
          <t>d* (m)</t>
        </is>
      </c>
      <c r="C23" s="4" t="inlineStr">
        <is>
          <t>T_pers (s)</t>
        </is>
      </c>
      <c r="D23" s="4" t="inlineStr">
        <is>
          <t>N_stop</t>
        </is>
      </c>
      <c r="E23" s="4" t="inlineStr">
        <is>
          <t>σ_v (m/s)</t>
        </is>
      </c>
      <c r="F23" s="4" t="inlineStr">
        <is>
          <t>a_max (m/s²)</t>
        </is>
      </c>
      <c r="G23" s="4" t="inlineStr">
        <is>
          <t>η_s (%)</t>
        </is>
      </c>
      <c r="H23" s="4" t="inlineStr">
        <is>
          <t>Tasa éxito</t>
        </is>
      </c>
    </row>
    <row r="24">
      <c r="A24" s="11" t="inlineStr">
        <is>
          <t>M0</t>
        </is>
      </c>
      <c r="B24" s="19" t="n">
        <v>0.56275</v>
      </c>
      <c r="C24" s="20" t="n">
        <v>25.3652425</v>
      </c>
      <c r="D24" s="20" t="n">
        <v>0.2</v>
      </c>
      <c r="E24" s="19" t="n">
        <v>0.06628582499999999</v>
      </c>
      <c r="F24" s="20" t="n">
        <v>12.4302725</v>
      </c>
      <c r="G24" s="21" t="n">
        <v>100</v>
      </c>
      <c r="H24" t="inlineStr">
        <is>
          <t>40/40</t>
        </is>
      </c>
    </row>
    <row r="25">
      <c r="A25" s="11" t="inlineStr">
        <is>
          <t>M1</t>
        </is>
      </c>
      <c r="B25" s="19" t="n">
        <v>0.750428125</v>
      </c>
      <c r="C25" s="20" t="n">
        <v>20.322525</v>
      </c>
      <c r="D25" s="20" t="n">
        <v>9.90625</v>
      </c>
      <c r="E25" s="19" t="n">
        <v>0.378315875</v>
      </c>
      <c r="F25" s="20" t="n">
        <v>11.275328125</v>
      </c>
      <c r="G25" s="21" t="n">
        <v>80</v>
      </c>
      <c r="H25" t="inlineStr">
        <is>
          <t>32/40</t>
        </is>
      </c>
    </row>
    <row r="26">
      <c r="A26" s="11" t="inlineStr">
        <is>
          <t>M2</t>
        </is>
      </c>
      <c r="B26" s="19" t="n">
        <v>0.7453093749999999</v>
      </c>
      <c r="C26" s="20" t="n">
        <v>12.428240625</v>
      </c>
      <c r="D26" s="20" t="n">
        <v>3.21875</v>
      </c>
      <c r="E26" s="19" t="n">
        <v>0.41006278125</v>
      </c>
      <c r="F26" s="20" t="n">
        <v>11.010690625</v>
      </c>
      <c r="G26" s="21" t="n">
        <v>80</v>
      </c>
      <c r="H26" t="inlineStr">
        <is>
          <t>32/40</t>
        </is>
      </c>
    </row>
    <row r="27">
      <c r="A27" s="11" t="inlineStr">
        <is>
          <t>M3</t>
        </is>
      </c>
      <c r="B27" s="19" t="n">
        <v>1.0037675</v>
      </c>
      <c r="C27" s="20" t="n">
        <v>7.574015</v>
      </c>
      <c r="D27" s="20" t="n">
        <v>0.025</v>
      </c>
      <c r="E27" s="19" t="n">
        <v>0.242783375</v>
      </c>
      <c r="F27" s="20" t="n">
        <v>9.370984999999999</v>
      </c>
      <c r="G27" s="21" t="n">
        <v>100</v>
      </c>
      <c r="H27" t="inlineStr">
        <is>
          <t>40/40</t>
        </is>
      </c>
    </row>
    <row r="28">
      <c r="A28" s="6" t="inlineStr">
        <is>
          <t>M4</t>
        </is>
      </c>
      <c r="B28" s="22" t="n">
        <v>0.8458824999999999</v>
      </c>
      <c r="C28" s="23" t="n">
        <v>11.72021</v>
      </c>
      <c r="D28" s="23" t="n">
        <v>0.2</v>
      </c>
      <c r="E28" s="22" t="n">
        <v>0.1951916</v>
      </c>
      <c r="F28" s="23" t="n">
        <v>10.283765</v>
      </c>
      <c r="G28" s="24" t="n">
        <v>100</v>
      </c>
      <c r="H28" s="5" t="inlineStr">
        <is>
          <t>40/40</t>
        </is>
      </c>
    </row>
    <row r="31">
      <c r="A31" s="3" t="inlineStr">
        <is>
          <t>VISUALIZACION</t>
        </is>
      </c>
    </row>
    <row r="55">
      <c r="A55" t="inlineStr">
        <is>
          <t>Método</t>
        </is>
      </c>
      <c r="B55" t="inlineStr">
        <is>
          <t>CC sin pen.</t>
        </is>
      </c>
      <c r="C55" t="inlineStr">
        <is>
          <t>CC con pen.</t>
        </is>
      </c>
    </row>
    <row r="56">
      <c r="A56" t="inlineStr">
        <is>
          <t>M0</t>
        </is>
      </c>
      <c r="B56" t="n">
        <v>0.6488006143126221</v>
      </c>
      <c r="C56" t="n">
        <v>0.663292549077024</v>
      </c>
    </row>
    <row r="57">
      <c r="A57" t="inlineStr">
        <is>
          <t>M1</t>
        </is>
      </c>
      <c r="B57" t="n">
        <v>0.1519345902935414</v>
      </c>
      <c r="C57" t="n">
        <v>0.07648456343046643</v>
      </c>
    </row>
    <row r="58">
      <c r="A58" t="inlineStr">
        <is>
          <t>M2</t>
        </is>
      </c>
      <c r="B58" t="n">
        <v>0.5259810914623703</v>
      </c>
      <c r="C58" t="n">
        <v>0.2268341840731095</v>
      </c>
    </row>
    <row r="59">
      <c r="A59" t="inlineStr">
        <is>
          <t>M3</t>
        </is>
      </c>
      <c r="B59" t="n">
        <v>0.8033267492584426</v>
      </c>
      <c r="C59" t="n">
        <v>0.796347936292074</v>
      </c>
    </row>
    <row r="60">
      <c r="A60" t="inlineStr">
        <is>
          <t>M4</t>
        </is>
      </c>
      <c r="B60" t="n">
        <v>0.8038839255485882</v>
      </c>
      <c r="C60" t="n">
        <v>0.8009073570543973</v>
      </c>
    </row>
    <row r="63">
      <c r="A63" t="inlineStr">
        <is>
          <t>Método</t>
        </is>
      </c>
      <c r="B63" t="inlineStr">
        <is>
          <t>η_s (%)</t>
        </is>
      </c>
    </row>
    <row r="64">
      <c r="A64" t="inlineStr">
        <is>
          <t>M0</t>
        </is>
      </c>
      <c r="B64" t="n">
        <v>100</v>
      </c>
    </row>
    <row r="65">
      <c r="A65" t="inlineStr">
        <is>
          <t>M1</t>
        </is>
      </c>
      <c r="B65" t="n">
        <v>80</v>
      </c>
    </row>
    <row r="66">
      <c r="A66" t="inlineStr">
        <is>
          <t>M2</t>
        </is>
      </c>
      <c r="B66" t="n">
        <v>80</v>
      </c>
    </row>
    <row r="67">
      <c r="A67" t="inlineStr">
        <is>
          <t>M3</t>
        </is>
      </c>
      <c r="B67" t="n">
        <v>100</v>
      </c>
    </row>
    <row r="68">
      <c r="A68" t="inlineStr">
        <is>
          <t>M4</t>
        </is>
      </c>
      <c r="B68" t="n">
        <v>100</v>
      </c>
    </row>
  </sheetData>
  <mergeCells count="6">
    <mergeCell ref="A1:J1"/>
    <mergeCell ref="A3:J3"/>
    <mergeCell ref="A5:E5"/>
    <mergeCell ref="A13:E13"/>
    <mergeCell ref="A31:H31"/>
    <mergeCell ref="A22:H22"/>
  </mergeCells>
  <conditionalFormatting sqref="B24:B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4:D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4:E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4:F2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4:G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3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4" customWidth="1" min="12" max="12"/>
    <col width="16" customWidth="1" min="13" max="13"/>
    <col width="12" customWidth="1" min="14" max="14"/>
    <col width="12" customWidth="1" min="15" max="15"/>
    <col width="13" customWidth="1" min="16" max="16"/>
    <col width="13" customWidth="1" min="17" max="17"/>
    <col width="16" customWidth="1" min="18" max="18"/>
    <col width="18" customWidth="1" min="19" max="19"/>
    <col width="16" customWidth="1" min="20" max="20"/>
    <col width="14" customWidth="1" min="21" max="21"/>
    <col width="13" customWidth="1" min="22" max="22"/>
    <col width="23" customWidth="1" min="23" max="23"/>
    <col width="14" customWidth="1" min="24" max="24"/>
    <col width="16" customWidth="1" min="25" max="25"/>
    <col width="19" customWidth="1" min="26" max="26"/>
  </cols>
  <sheetData>
    <row r="1">
      <c r="A1" s="3" t="inlineStr">
        <is>
          <t>MASTER LOG - 184 corridas registradas</t>
        </is>
      </c>
    </row>
    <row r="3">
      <c r="A3" s="25" t="inlineStr">
        <is>
          <t>Metodo</t>
        </is>
      </c>
      <c r="B3" s="25" t="inlineStr">
        <is>
          <t>Escenario</t>
        </is>
      </c>
      <c r="C3" s="25" t="inlineStr">
        <is>
          <t>RunID</t>
        </is>
      </c>
      <c r="D3" s="25" t="inlineStr">
        <is>
          <t>Timestamp</t>
        </is>
      </c>
      <c r="E3" s="25" t="inlineStr">
        <is>
          <t>TiempoTotal_s</t>
        </is>
      </c>
      <c r="F3" s="25" t="inlineStr">
        <is>
          <t>LongitudTrayectoria_m</t>
        </is>
      </c>
      <c r="G3" s="25" t="inlineStr">
        <is>
          <t>DistMin_m</t>
        </is>
      </c>
      <c r="H3" s="25" t="inlineStr">
        <is>
          <t>DistMedia_m</t>
        </is>
      </c>
      <c r="I3" s="25" t="inlineStr">
        <is>
          <t>DistMediana_m</t>
        </is>
      </c>
      <c r="J3" s="25" t="inlineStr">
        <is>
          <t>DistP05_m</t>
        </is>
      </c>
      <c r="K3" s="25" t="inlineStr">
        <is>
          <t>DistIQR_m</t>
        </is>
      </c>
      <c r="L3" s="25" t="inlineStr">
        <is>
          <t>VelMedia_mps</t>
        </is>
      </c>
      <c r="M3" s="25" t="inlineStr">
        <is>
          <t>VelMediana_mps</t>
        </is>
      </c>
      <c r="N3" s="25" t="inlineStr">
        <is>
          <t>VelMax_mps</t>
        </is>
      </c>
      <c r="O3" s="25" t="inlineStr">
        <is>
          <t>VelStd_mps</t>
        </is>
      </c>
      <c r="P3" s="25" t="inlineStr">
        <is>
          <t>AccMax_mps2</t>
        </is>
      </c>
      <c r="Q3" s="25" t="inlineStr">
        <is>
          <t>AccRMS_mps2</t>
        </is>
      </c>
      <c r="R3" s="25" t="inlineStr">
        <is>
          <t>TiempoSocial_s</t>
        </is>
      </c>
      <c r="S3" s="25" t="inlineStr">
        <is>
          <t>TiempoPersonal_s</t>
        </is>
      </c>
      <c r="T3" s="25" t="inlineStr">
        <is>
          <t>TiempoIntima_s</t>
        </is>
      </c>
      <c r="U3" s="25" t="inlineStr">
        <is>
          <t>TiempoStop_s</t>
        </is>
      </c>
      <c r="V3" s="25" t="inlineStr">
        <is>
          <t>NumeroStops</t>
        </is>
      </c>
      <c r="W3" s="25" t="inlineStr">
        <is>
          <t>EficienciaTrayectoria</t>
        </is>
      </c>
      <c r="X3" s="25" t="inlineStr">
        <is>
          <t>PacketsValid</t>
        </is>
      </c>
      <c r="Y3" s="25" t="inlineStr">
        <is>
          <t>PacketsInvalid</t>
        </is>
      </c>
      <c r="Z3" s="25" t="inlineStr">
        <is>
          <t>PacketsOutOfOrder</t>
        </is>
      </c>
    </row>
    <row r="4">
      <c r="A4" t="inlineStr">
        <is>
          <t>M0</t>
        </is>
      </c>
      <c r="B4" t="inlineStr">
        <is>
          <t>E1</t>
        </is>
      </c>
      <c r="C4" t="n">
        <v>1</v>
      </c>
      <c r="D4" t="inlineStr">
        <is>
          <t>2026-05-02 18:42:04</t>
        </is>
      </c>
      <c r="E4" t="n">
        <v>93.8764</v>
      </c>
      <c r="F4" t="n">
        <v>93.514398</v>
      </c>
      <c r="G4" t="n">
        <v>0.4698</v>
      </c>
      <c r="H4" t="n">
        <v>9.828844999999999</v>
      </c>
      <c r="I4" t="n">
        <v>12</v>
      </c>
      <c r="J4" t="n">
        <v>0.97659</v>
      </c>
      <c r="K4" t="n">
        <v>3.3519</v>
      </c>
      <c r="L4" t="n">
        <v>0.999889</v>
      </c>
      <c r="M4" t="n">
        <v>1</v>
      </c>
      <c r="N4" t="n">
        <v>2.8287</v>
      </c>
      <c r="O4" t="n">
        <v>0.103283</v>
      </c>
      <c r="P4" t="n">
        <v>24.4818</v>
      </c>
      <c r="Q4" t="n">
        <v>1.239582</v>
      </c>
      <c r="R4" t="n">
        <v>12.3794</v>
      </c>
      <c r="S4" t="n">
        <v>5.9441</v>
      </c>
      <c r="T4" t="n">
        <v>0</v>
      </c>
      <c r="U4" t="n">
        <v>0.177</v>
      </c>
      <c r="V4" t="n">
        <v>1</v>
      </c>
      <c r="W4" t="n">
        <v>0.996144</v>
      </c>
      <c r="X4" t="n">
        <v>456</v>
      </c>
      <c r="Y4" t="n">
        <v>0</v>
      </c>
      <c r="Z4" t="n">
        <v>0</v>
      </c>
    </row>
    <row r="5">
      <c r="A5" t="inlineStr">
        <is>
          <t>M0</t>
        </is>
      </c>
      <c r="B5" t="inlineStr">
        <is>
          <t>E1</t>
        </is>
      </c>
      <c r="C5" t="n">
        <v>2</v>
      </c>
      <c r="D5" t="inlineStr">
        <is>
          <t>2026-05-02 18:44:45</t>
        </is>
      </c>
      <c r="E5" t="n">
        <v>94.3218</v>
      </c>
      <c r="F5" t="n">
        <v>93.841702</v>
      </c>
      <c r="G5" t="n">
        <v>0.4535</v>
      </c>
      <c r="H5" t="n">
        <v>9.817498000000001</v>
      </c>
      <c r="I5" t="n">
        <v>12</v>
      </c>
      <c r="J5" t="n">
        <v>1.0202</v>
      </c>
      <c r="K5" t="n">
        <v>3.3917</v>
      </c>
      <c r="L5" t="n">
        <v>0.997203</v>
      </c>
      <c r="M5" t="n">
        <v>1</v>
      </c>
      <c r="N5" t="n">
        <v>1.8706</v>
      </c>
      <c r="O5" t="n">
        <v>0.07072000000000001</v>
      </c>
      <c r="P5" t="n">
        <v>12.36</v>
      </c>
      <c r="Q5" t="n">
        <v>0.66876</v>
      </c>
      <c r="R5" t="n">
        <v>12.5284</v>
      </c>
      <c r="S5" t="n">
        <v>5.999</v>
      </c>
      <c r="T5" t="n">
        <v>0</v>
      </c>
      <c r="U5" t="n">
        <v>0</v>
      </c>
      <c r="V5" t="n">
        <v>0</v>
      </c>
      <c r="W5" t="n">
        <v>0.99491</v>
      </c>
      <c r="X5" t="n">
        <v>386</v>
      </c>
      <c r="Y5" t="n">
        <v>0</v>
      </c>
      <c r="Z5" t="n">
        <v>0</v>
      </c>
    </row>
    <row r="6">
      <c r="A6" t="inlineStr">
        <is>
          <t>M0</t>
        </is>
      </c>
      <c r="B6" t="inlineStr">
        <is>
          <t>E1</t>
        </is>
      </c>
      <c r="C6" t="n">
        <v>3</v>
      </c>
      <c r="D6" t="inlineStr">
        <is>
          <t>2026-05-02 18:47:34</t>
        </is>
      </c>
      <c r="E6" t="n">
        <v>93.73739999999999</v>
      </c>
      <c r="F6" t="n">
        <v>93.44629399999999</v>
      </c>
      <c r="G6" t="n">
        <v>0.5528</v>
      </c>
      <c r="H6" t="n">
        <v>10.025686</v>
      </c>
      <c r="I6" t="n">
        <v>12</v>
      </c>
      <c r="J6" t="n">
        <v>1.66174</v>
      </c>
      <c r="K6" t="n">
        <v>2.773075</v>
      </c>
      <c r="L6" t="n">
        <v>0.998089</v>
      </c>
      <c r="M6" t="n">
        <v>1</v>
      </c>
      <c r="N6" t="n">
        <v>1.5619</v>
      </c>
      <c r="O6" t="n">
        <v>0.05435</v>
      </c>
      <c r="P6" t="n">
        <v>5.9371</v>
      </c>
      <c r="Q6" t="n">
        <v>0.417735</v>
      </c>
      <c r="R6" t="n">
        <v>10.1551</v>
      </c>
      <c r="S6" t="n">
        <v>3.1517</v>
      </c>
      <c r="T6" t="n">
        <v>0</v>
      </c>
      <c r="U6" t="n">
        <v>0</v>
      </c>
      <c r="V6" t="n">
        <v>0</v>
      </c>
      <c r="W6" t="n">
        <v>0.9968939999999999</v>
      </c>
      <c r="X6" t="n">
        <v>329</v>
      </c>
      <c r="Y6" t="n">
        <v>0</v>
      </c>
      <c r="Z6" t="n">
        <v>0</v>
      </c>
    </row>
    <row r="7">
      <c r="A7" t="inlineStr">
        <is>
          <t>M0</t>
        </is>
      </c>
      <c r="B7" t="inlineStr">
        <is>
          <t>E1</t>
        </is>
      </c>
      <c r="C7" t="n">
        <v>4</v>
      </c>
      <c r="D7" t="inlineStr">
        <is>
          <t>2026-05-02 18:50:31</t>
        </is>
      </c>
      <c r="E7" t="n">
        <v>94.2812</v>
      </c>
      <c r="F7" t="n">
        <v>93.97980200000001</v>
      </c>
      <c r="G7" t="n">
        <v>0.5881</v>
      </c>
      <c r="H7" t="n">
        <v>10.200167</v>
      </c>
      <c r="I7" t="n">
        <v>12</v>
      </c>
      <c r="J7" t="n">
        <v>1.8864</v>
      </c>
      <c r="K7" t="n">
        <v>1.919075</v>
      </c>
      <c r="L7" t="n">
        <v>0.998187</v>
      </c>
      <c r="M7" t="n">
        <v>1</v>
      </c>
      <c r="N7" t="n">
        <v>1.7313</v>
      </c>
      <c r="O7" t="n">
        <v>0.056806</v>
      </c>
      <c r="P7" t="n">
        <v>9.765599999999999</v>
      </c>
      <c r="Q7" t="n">
        <v>0.592365</v>
      </c>
      <c r="R7" t="n">
        <v>9.7378</v>
      </c>
      <c r="S7" t="n">
        <v>2.2677</v>
      </c>
      <c r="T7" t="n">
        <v>0</v>
      </c>
      <c r="U7" t="n">
        <v>0</v>
      </c>
      <c r="V7" t="n">
        <v>0</v>
      </c>
      <c r="W7" t="n">
        <v>0.996803</v>
      </c>
      <c r="X7" t="n">
        <v>375</v>
      </c>
      <c r="Y7" t="n">
        <v>0</v>
      </c>
      <c r="Z7" t="n">
        <v>0</v>
      </c>
    </row>
    <row r="8">
      <c r="A8" t="inlineStr">
        <is>
          <t>M0</t>
        </is>
      </c>
      <c r="B8" t="inlineStr">
        <is>
          <t>E1</t>
        </is>
      </c>
      <c r="C8" t="n">
        <v>5</v>
      </c>
      <c r="D8" t="inlineStr">
        <is>
          <t>2026-05-02 18:52:56</t>
        </is>
      </c>
      <c r="E8" t="n">
        <v>93.8015</v>
      </c>
      <c r="F8" t="n">
        <v>93.456895</v>
      </c>
      <c r="G8" t="n">
        <v>0.4665</v>
      </c>
      <c r="H8" t="n">
        <v>10.093968</v>
      </c>
      <c r="I8" t="n">
        <v>12</v>
      </c>
      <c r="J8" t="n">
        <v>1.533585</v>
      </c>
      <c r="K8" t="n">
        <v>1.901425</v>
      </c>
      <c r="L8" t="n">
        <v>0.996509</v>
      </c>
      <c r="M8" t="n">
        <v>1</v>
      </c>
      <c r="N8" t="n">
        <v>1.4352</v>
      </c>
      <c r="O8" t="n">
        <v>0.059464</v>
      </c>
      <c r="P8" t="n">
        <v>4.9602</v>
      </c>
      <c r="Q8" t="n">
        <v>0.368643</v>
      </c>
      <c r="R8" t="n">
        <v>11.1113</v>
      </c>
      <c r="S8" t="n">
        <v>4.7791</v>
      </c>
      <c r="T8" t="n">
        <v>0</v>
      </c>
      <c r="U8" t="n">
        <v>0.2074</v>
      </c>
      <c r="V8" t="n">
        <v>1</v>
      </c>
      <c r="W8" t="n">
        <v>0.996326</v>
      </c>
      <c r="X8" t="n">
        <v>383</v>
      </c>
      <c r="Y8" t="n">
        <v>0</v>
      </c>
      <c r="Z8" t="n">
        <v>0</v>
      </c>
    </row>
    <row r="9">
      <c r="A9" t="inlineStr">
        <is>
          <t>M0</t>
        </is>
      </c>
      <c r="B9" t="inlineStr">
        <is>
          <t>E1</t>
        </is>
      </c>
      <c r="C9" t="n">
        <v>6</v>
      </c>
      <c r="D9" t="inlineStr">
        <is>
          <t>2026-05-02 18:55:43</t>
        </is>
      </c>
      <c r="E9" t="n">
        <v>93.9657</v>
      </c>
      <c r="F9" t="n">
        <v>93.68879800000001</v>
      </c>
      <c r="G9" t="n">
        <v>0.5411</v>
      </c>
      <c r="H9" t="n">
        <v>9.934626</v>
      </c>
      <c r="I9" t="n">
        <v>12</v>
      </c>
      <c r="J9" t="n">
        <v>1.496775</v>
      </c>
      <c r="K9" t="n">
        <v>3.126975</v>
      </c>
      <c r="L9" t="n">
        <v>1.000198</v>
      </c>
      <c r="M9" t="n">
        <v>1</v>
      </c>
      <c r="N9" t="n">
        <v>2.2234</v>
      </c>
      <c r="O9" t="n">
        <v>0.084411</v>
      </c>
      <c r="P9" t="n">
        <v>18.9195</v>
      </c>
      <c r="Q9" t="n">
        <v>1.074463</v>
      </c>
      <c r="R9" t="n">
        <v>10.1683</v>
      </c>
      <c r="S9" t="n">
        <v>3.7966</v>
      </c>
      <c r="T9" t="n">
        <v>0</v>
      </c>
      <c r="U9" t="n">
        <v>0</v>
      </c>
      <c r="V9" t="n">
        <v>0</v>
      </c>
      <c r="W9" t="n">
        <v>0.997053</v>
      </c>
      <c r="X9" t="n">
        <v>337</v>
      </c>
      <c r="Y9" t="n">
        <v>0</v>
      </c>
      <c r="Z9" t="n">
        <v>0</v>
      </c>
    </row>
    <row r="10">
      <c r="A10" t="inlineStr">
        <is>
          <t>M0</t>
        </is>
      </c>
      <c r="B10" t="inlineStr">
        <is>
          <t>E1</t>
        </is>
      </c>
      <c r="C10" t="n">
        <v>7</v>
      </c>
      <c r="D10" t="inlineStr">
        <is>
          <t>2026-05-02 18:59:48</t>
        </is>
      </c>
      <c r="E10" t="n">
        <v>94.3137</v>
      </c>
      <c r="F10" t="n">
        <v>93.8785</v>
      </c>
      <c r="G10" t="n">
        <v>1.0767</v>
      </c>
      <c r="H10" t="n">
        <v>10.155294</v>
      </c>
      <c r="I10" t="n">
        <v>12</v>
      </c>
      <c r="J10" t="n">
        <v>2.0581</v>
      </c>
      <c r="K10" t="n">
        <v>2.3965</v>
      </c>
      <c r="L10" t="n">
        <v>0.9963</v>
      </c>
      <c r="M10" t="n">
        <v>1</v>
      </c>
      <c r="N10" t="n">
        <v>1.3609</v>
      </c>
      <c r="O10" t="n">
        <v>0.055283</v>
      </c>
      <c r="P10" t="n">
        <v>4.9509</v>
      </c>
      <c r="Q10" t="n">
        <v>0.330644</v>
      </c>
      <c r="R10" t="n">
        <v>9.141</v>
      </c>
      <c r="S10" t="n">
        <v>1.6259</v>
      </c>
      <c r="T10" t="n">
        <v>0</v>
      </c>
      <c r="U10" t="n">
        <v>0</v>
      </c>
      <c r="V10" t="n">
        <v>0</v>
      </c>
      <c r="W10" t="n">
        <v>0.995386</v>
      </c>
      <c r="X10" t="n">
        <v>386</v>
      </c>
      <c r="Y10" t="n">
        <v>0</v>
      </c>
      <c r="Z10" t="n">
        <v>0</v>
      </c>
    </row>
    <row r="11">
      <c r="A11" t="inlineStr">
        <is>
          <t>M0</t>
        </is>
      </c>
      <c r="B11" t="inlineStr">
        <is>
          <t>E1</t>
        </is>
      </c>
      <c r="C11" t="n">
        <v>8</v>
      </c>
      <c r="D11" t="inlineStr">
        <is>
          <t>2026-05-02 19:02:18</t>
        </is>
      </c>
      <c r="E11" t="n">
        <v>94.11879999999999</v>
      </c>
      <c r="F11" t="n">
        <v>93.755398</v>
      </c>
      <c r="G11" t="n">
        <v>0.4787</v>
      </c>
      <c r="H11" t="n">
        <v>9.999803999999999</v>
      </c>
      <c r="I11" t="n">
        <v>12</v>
      </c>
      <c r="J11" t="n">
        <v>1.474915</v>
      </c>
      <c r="K11" t="n">
        <v>2.8261</v>
      </c>
      <c r="L11" t="n">
        <v>0.998934</v>
      </c>
      <c r="M11" t="n">
        <v>1</v>
      </c>
      <c r="N11" t="n">
        <v>1.9582</v>
      </c>
      <c r="O11" t="n">
        <v>0.069397</v>
      </c>
      <c r="P11" t="n">
        <v>10.771</v>
      </c>
      <c r="Q11" t="n">
        <v>0.649968</v>
      </c>
      <c r="R11" t="n">
        <v>10.3355</v>
      </c>
      <c r="S11" t="n">
        <v>4.0727</v>
      </c>
      <c r="T11" t="n">
        <v>0</v>
      </c>
      <c r="U11" t="n">
        <v>0</v>
      </c>
      <c r="V11" t="n">
        <v>0</v>
      </c>
      <c r="W11" t="n">
        <v>0.996139</v>
      </c>
      <c r="X11" t="n">
        <v>333</v>
      </c>
      <c r="Y11" t="n">
        <v>0</v>
      </c>
      <c r="Z11" t="n">
        <v>0</v>
      </c>
    </row>
    <row r="12">
      <c r="A12" t="inlineStr">
        <is>
          <t>M0</t>
        </is>
      </c>
      <c r="B12" t="inlineStr">
        <is>
          <t>E1</t>
        </is>
      </c>
      <c r="C12" t="n">
        <v>9</v>
      </c>
      <c r="D12" t="inlineStr">
        <is>
          <t>2026-05-02 19:05:28</t>
        </is>
      </c>
      <c r="E12" t="n">
        <v>94.184</v>
      </c>
      <c r="F12" t="n">
        <v>93.752601</v>
      </c>
      <c r="G12" t="n">
        <v>0.5163</v>
      </c>
      <c r="H12" t="n">
        <v>9.949407000000001</v>
      </c>
      <c r="I12" t="n">
        <v>12</v>
      </c>
      <c r="J12" t="n">
        <v>1.486455</v>
      </c>
      <c r="K12" t="n">
        <v>3.02435</v>
      </c>
      <c r="L12" t="n">
        <v>0.995003</v>
      </c>
      <c r="M12" t="n">
        <v>1</v>
      </c>
      <c r="N12" t="n">
        <v>1</v>
      </c>
      <c r="O12" t="n">
        <v>0.053669</v>
      </c>
      <c r="P12" t="n">
        <v>3.8839</v>
      </c>
      <c r="Q12" t="n">
        <v>0.26946</v>
      </c>
      <c r="R12" t="n">
        <v>10.962</v>
      </c>
      <c r="S12" t="n">
        <v>4.0436</v>
      </c>
      <c r="T12" t="n">
        <v>0</v>
      </c>
      <c r="U12" t="n">
        <v>0.1979</v>
      </c>
      <c r="V12" t="n">
        <v>1</v>
      </c>
      <c r="W12" t="n">
        <v>0.99542</v>
      </c>
      <c r="X12" t="n">
        <v>399</v>
      </c>
      <c r="Y12" t="n">
        <v>0</v>
      </c>
      <c r="Z12" t="n">
        <v>0</v>
      </c>
    </row>
    <row r="13">
      <c r="A13" t="inlineStr">
        <is>
          <t>M0</t>
        </is>
      </c>
      <c r="B13" t="inlineStr">
        <is>
          <t>E1</t>
        </is>
      </c>
      <c r="C13" t="n">
        <v>10</v>
      </c>
      <c r="D13" t="inlineStr">
        <is>
          <t>2026-05-02 19:07:56</t>
        </is>
      </c>
      <c r="E13" t="n">
        <v>94.3939</v>
      </c>
      <c r="F13" t="n">
        <v>94.08790500000001</v>
      </c>
      <c r="G13" t="n">
        <v>0.4599</v>
      </c>
      <c r="H13" t="n">
        <v>9.846503</v>
      </c>
      <c r="I13" t="n">
        <v>12</v>
      </c>
      <c r="J13" t="n">
        <v>1.10914</v>
      </c>
      <c r="K13" t="n">
        <v>3.3983</v>
      </c>
      <c r="L13" t="n">
        <v>0.999715</v>
      </c>
      <c r="M13" t="n">
        <v>1</v>
      </c>
      <c r="N13" t="n">
        <v>2.025</v>
      </c>
      <c r="O13" t="n">
        <v>0.072487</v>
      </c>
      <c r="P13" t="n">
        <v>17.5034</v>
      </c>
      <c r="Q13" t="n">
        <v>1.025078</v>
      </c>
      <c r="R13" t="n">
        <v>11.5942</v>
      </c>
      <c r="S13" t="n">
        <v>4.968</v>
      </c>
      <c r="T13" t="n">
        <v>0</v>
      </c>
      <c r="U13" t="n">
        <v>0</v>
      </c>
      <c r="V13" t="n">
        <v>0</v>
      </c>
      <c r="W13" t="n">
        <v>0.996758</v>
      </c>
      <c r="X13" t="n">
        <v>332</v>
      </c>
      <c r="Y13" t="n">
        <v>0</v>
      </c>
      <c r="Z13" t="n">
        <v>0</v>
      </c>
    </row>
    <row r="14">
      <c r="A14" t="inlineStr">
        <is>
          <t>M0</t>
        </is>
      </c>
      <c r="B14" t="inlineStr">
        <is>
          <t>E2</t>
        </is>
      </c>
      <c r="C14" t="n">
        <v>1</v>
      </c>
      <c r="D14" t="inlineStr">
        <is>
          <t>2026-05-02 21:32:53</t>
        </is>
      </c>
      <c r="E14" t="n">
        <v>93.83459999999999</v>
      </c>
      <c r="F14" t="n">
        <v>93.439402</v>
      </c>
      <c r="G14" t="n">
        <v>0.6443</v>
      </c>
      <c r="H14" t="n">
        <v>3.405486</v>
      </c>
      <c r="I14" t="n">
        <v>2.609</v>
      </c>
      <c r="J14" t="n">
        <v>0.806535</v>
      </c>
      <c r="K14" t="n">
        <v>2.412925</v>
      </c>
      <c r="L14" t="n">
        <v>0.997636</v>
      </c>
      <c r="M14" t="n">
        <v>1</v>
      </c>
      <c r="N14" t="n">
        <v>2.0658</v>
      </c>
      <c r="O14" t="n">
        <v>0.063289</v>
      </c>
      <c r="P14" t="n">
        <v>12.8192</v>
      </c>
      <c r="Q14" t="n">
        <v>0.59971</v>
      </c>
      <c r="R14" t="n">
        <v>69.3382</v>
      </c>
      <c r="S14" t="n">
        <v>18.5842</v>
      </c>
      <c r="T14" t="n">
        <v>0</v>
      </c>
      <c r="U14" t="n">
        <v>0</v>
      </c>
      <c r="V14" t="n">
        <v>0</v>
      </c>
      <c r="W14" t="n">
        <v>0.995788</v>
      </c>
      <c r="X14" t="n">
        <v>677</v>
      </c>
      <c r="Y14" t="n">
        <v>0</v>
      </c>
      <c r="Z14" t="n">
        <v>0</v>
      </c>
    </row>
    <row r="15">
      <c r="A15" t="inlineStr">
        <is>
          <t>M0</t>
        </is>
      </c>
      <c r="B15" t="inlineStr">
        <is>
          <t>E2</t>
        </is>
      </c>
      <c r="C15" t="n">
        <v>2</v>
      </c>
      <c r="D15" t="inlineStr">
        <is>
          <t>2026-05-02 21:35:24</t>
        </is>
      </c>
      <c r="E15" t="n">
        <v>93.6964</v>
      </c>
      <c r="F15" t="n">
        <v>93.31953900000001</v>
      </c>
      <c r="G15" t="n">
        <v>0.641</v>
      </c>
      <c r="H15" t="n">
        <v>3.377045</v>
      </c>
      <c r="I15" t="n">
        <v>1.4202</v>
      </c>
      <c r="J15" t="n">
        <v>0.8048</v>
      </c>
      <c r="K15" t="n">
        <v>4.18555</v>
      </c>
      <c r="L15" t="n">
        <v>0.997238</v>
      </c>
      <c r="M15" t="n">
        <v>1</v>
      </c>
      <c r="N15" t="n">
        <v>1.8856</v>
      </c>
      <c r="O15" t="n">
        <v>0.05917</v>
      </c>
      <c r="P15" t="n">
        <v>10.7069</v>
      </c>
      <c r="Q15" t="n">
        <v>0.538279</v>
      </c>
      <c r="R15" t="n">
        <v>60.7654</v>
      </c>
      <c r="S15" t="n">
        <v>39.6072</v>
      </c>
      <c r="T15" t="n">
        <v>0</v>
      </c>
      <c r="U15" t="n">
        <v>0</v>
      </c>
      <c r="V15" t="n">
        <v>0</v>
      </c>
      <c r="W15" t="n">
        <v>0.995978</v>
      </c>
      <c r="X15" t="n">
        <v>669</v>
      </c>
      <c r="Y15" t="n">
        <v>0</v>
      </c>
      <c r="Z15" t="n">
        <v>0</v>
      </c>
    </row>
    <row r="16">
      <c r="A16" t="inlineStr">
        <is>
          <t>M0</t>
        </is>
      </c>
      <c r="B16" t="inlineStr">
        <is>
          <t>E2</t>
        </is>
      </c>
      <c r="C16" t="n">
        <v>3</v>
      </c>
      <c r="D16" t="inlineStr">
        <is>
          <t>2026-05-02 21:37:48</t>
        </is>
      </c>
      <c r="E16" t="n">
        <v>93.7286</v>
      </c>
      <c r="F16" t="n">
        <v>93.373502</v>
      </c>
      <c r="G16" t="n">
        <v>0.7077</v>
      </c>
      <c r="H16" t="n">
        <v>4.890528</v>
      </c>
      <c r="I16" t="n">
        <v>2.24195</v>
      </c>
      <c r="J16" t="n">
        <v>0.78352</v>
      </c>
      <c r="K16" t="n">
        <v>7.9664</v>
      </c>
      <c r="L16" t="n">
        <v>0.998406</v>
      </c>
      <c r="M16" t="n">
        <v>1</v>
      </c>
      <c r="N16" t="n">
        <v>2.3837</v>
      </c>
      <c r="O16" t="n">
        <v>0.072764</v>
      </c>
      <c r="P16" t="n">
        <v>15.5391</v>
      </c>
      <c r="Q16" t="n">
        <v>0.728955</v>
      </c>
      <c r="R16" t="n">
        <v>49.9477</v>
      </c>
      <c r="S16" t="n">
        <v>36.0391</v>
      </c>
      <c r="T16" t="n">
        <v>0</v>
      </c>
      <c r="U16" t="n">
        <v>0</v>
      </c>
      <c r="V16" t="n">
        <v>0</v>
      </c>
      <c r="W16" t="n">
        <v>0.996211</v>
      </c>
      <c r="X16" t="n">
        <v>654</v>
      </c>
      <c r="Y16" t="n">
        <v>0</v>
      </c>
      <c r="Z16" t="n">
        <v>0</v>
      </c>
    </row>
    <row r="17">
      <c r="A17" t="inlineStr">
        <is>
          <t>M0</t>
        </is>
      </c>
      <c r="B17" t="inlineStr">
        <is>
          <t>E2</t>
        </is>
      </c>
      <c r="C17" t="n">
        <v>4</v>
      </c>
      <c r="D17" t="inlineStr">
        <is>
          <t>2026-05-02 21:40:14</t>
        </is>
      </c>
      <c r="E17" t="n">
        <v>93.96339999999999</v>
      </c>
      <c r="F17" t="n">
        <v>93.586697</v>
      </c>
      <c r="G17" t="n">
        <v>0.5284</v>
      </c>
      <c r="H17" t="n">
        <v>2.392377</v>
      </c>
      <c r="I17" t="n">
        <v>1.7047</v>
      </c>
      <c r="J17" t="n">
        <v>0.589135</v>
      </c>
      <c r="K17" t="n">
        <v>2.041425</v>
      </c>
      <c r="L17" t="n">
        <v>0.996852</v>
      </c>
      <c r="M17" t="n">
        <v>1</v>
      </c>
      <c r="N17" t="n">
        <v>1.4599</v>
      </c>
      <c r="O17" t="n">
        <v>0.052103</v>
      </c>
      <c r="P17" t="n">
        <v>4.99</v>
      </c>
      <c r="Q17" t="n">
        <v>0.356529</v>
      </c>
      <c r="R17" t="n">
        <v>73.81319999999999</v>
      </c>
      <c r="S17" t="n">
        <v>26.3314</v>
      </c>
      <c r="T17" t="n">
        <v>0</v>
      </c>
      <c r="U17" t="n">
        <v>0</v>
      </c>
      <c r="V17" t="n">
        <v>0</v>
      </c>
      <c r="W17" t="n">
        <v>0.995991</v>
      </c>
      <c r="X17" t="n">
        <v>327</v>
      </c>
      <c r="Y17" t="n">
        <v>0</v>
      </c>
      <c r="Z17" t="n">
        <v>0</v>
      </c>
    </row>
    <row r="18">
      <c r="A18" t="inlineStr">
        <is>
          <t>M0</t>
        </is>
      </c>
      <c r="B18" t="inlineStr">
        <is>
          <t>E2</t>
        </is>
      </c>
      <c r="C18" t="n">
        <v>5</v>
      </c>
      <c r="D18" t="inlineStr">
        <is>
          <t>2026-05-02 21:42:32</t>
        </is>
      </c>
      <c r="E18" t="n">
        <v>93.85209999999999</v>
      </c>
      <c r="F18" t="n">
        <v>93.507206</v>
      </c>
      <c r="G18" t="n">
        <v>0.5334</v>
      </c>
      <c r="H18" t="n">
        <v>2.074875</v>
      </c>
      <c r="I18" t="n">
        <v>1.2884</v>
      </c>
      <c r="J18" t="n">
        <v>0.68725</v>
      </c>
      <c r="K18" t="n">
        <v>1.1559</v>
      </c>
      <c r="L18" t="n">
        <v>0.9976699999999999</v>
      </c>
      <c r="M18" t="n">
        <v>1</v>
      </c>
      <c r="N18" t="n">
        <v>1.7694</v>
      </c>
      <c r="O18" t="n">
        <v>0.060274</v>
      </c>
      <c r="P18" t="n">
        <v>11.3459</v>
      </c>
      <c r="Q18" t="n">
        <v>0.579288</v>
      </c>
      <c r="R18" t="n">
        <v>81.8134</v>
      </c>
      <c r="S18" t="n">
        <v>33.6766</v>
      </c>
      <c r="T18" t="n">
        <v>0</v>
      </c>
      <c r="U18" t="n">
        <v>0</v>
      </c>
      <c r="V18" t="n">
        <v>0</v>
      </c>
      <c r="W18" t="n">
        <v>0.996325</v>
      </c>
      <c r="X18" t="n">
        <v>492</v>
      </c>
      <c r="Y18" t="n">
        <v>0</v>
      </c>
      <c r="Z18" t="n">
        <v>0</v>
      </c>
    </row>
    <row r="19">
      <c r="A19" t="inlineStr">
        <is>
          <t>M0</t>
        </is>
      </c>
      <c r="B19" t="inlineStr">
        <is>
          <t>E2</t>
        </is>
      </c>
      <c r="C19" t="n">
        <v>6</v>
      </c>
      <c r="D19" t="inlineStr">
        <is>
          <t>2026-05-02 21:45:11</t>
        </is>
      </c>
      <c r="E19" t="n">
        <v>93.7394</v>
      </c>
      <c r="F19" t="n">
        <v>93.374194</v>
      </c>
      <c r="G19" t="n">
        <v>0.452</v>
      </c>
      <c r="H19" t="n">
        <v>4.210779</v>
      </c>
      <c r="I19" t="n">
        <v>1.59745</v>
      </c>
      <c r="J19" t="n">
        <v>0.58725</v>
      </c>
      <c r="K19" t="n">
        <v>6.21305</v>
      </c>
      <c r="L19" t="n">
        <v>0.997003</v>
      </c>
      <c r="M19" t="n">
        <v>1</v>
      </c>
      <c r="N19" t="n">
        <v>1.49</v>
      </c>
      <c r="O19" t="n">
        <v>0.053906</v>
      </c>
      <c r="P19" t="n">
        <v>5.1582</v>
      </c>
      <c r="Q19" t="n">
        <v>0.369619</v>
      </c>
      <c r="R19" t="n">
        <v>54.7421</v>
      </c>
      <c r="S19" t="n">
        <v>23.0412</v>
      </c>
      <c r="T19" t="n">
        <v>0</v>
      </c>
      <c r="U19" t="n">
        <v>0</v>
      </c>
      <c r="V19" t="n">
        <v>0</v>
      </c>
      <c r="W19" t="n">
        <v>0.996104</v>
      </c>
      <c r="X19" t="n">
        <v>340</v>
      </c>
      <c r="Y19" t="n">
        <v>0</v>
      </c>
      <c r="Z19" t="n">
        <v>0</v>
      </c>
    </row>
    <row r="20">
      <c r="A20" t="inlineStr">
        <is>
          <t>M0</t>
        </is>
      </c>
      <c r="B20" t="inlineStr">
        <is>
          <t>E2</t>
        </is>
      </c>
      <c r="C20" t="n">
        <v>7</v>
      </c>
      <c r="D20" t="inlineStr">
        <is>
          <t>2026-05-02 21:47:28</t>
        </is>
      </c>
      <c r="E20" t="n">
        <v>93.9742</v>
      </c>
      <c r="F20" t="n">
        <v>93.6173</v>
      </c>
      <c r="G20" t="n">
        <v>0.5426</v>
      </c>
      <c r="H20" t="n">
        <v>3.107825</v>
      </c>
      <c r="I20" t="n">
        <v>1.56915</v>
      </c>
      <c r="J20" t="n">
        <v>0.63669</v>
      </c>
      <c r="K20" t="n">
        <v>4.268</v>
      </c>
      <c r="L20" t="n">
        <v>0.994961</v>
      </c>
      <c r="M20" t="n">
        <v>1</v>
      </c>
      <c r="N20" t="n">
        <v>1</v>
      </c>
      <c r="O20" t="n">
        <v>0.053354</v>
      </c>
      <c r="P20" t="n">
        <v>3.3396</v>
      </c>
      <c r="Q20" t="n">
        <v>0.267877</v>
      </c>
      <c r="R20" t="n">
        <v>63.1545</v>
      </c>
      <c r="S20" t="n">
        <v>33.9207</v>
      </c>
      <c r="T20" t="n">
        <v>0</v>
      </c>
      <c r="U20" t="n">
        <v>0.2221</v>
      </c>
      <c r="V20" t="n">
        <v>1</v>
      </c>
      <c r="W20" t="n">
        <v>0.996202</v>
      </c>
      <c r="X20" t="n">
        <v>436</v>
      </c>
      <c r="Y20" t="n">
        <v>0</v>
      </c>
      <c r="Z20" t="n">
        <v>0</v>
      </c>
    </row>
    <row r="21">
      <c r="A21" t="inlineStr">
        <is>
          <t>M0</t>
        </is>
      </c>
      <c r="B21" t="inlineStr">
        <is>
          <t>E2</t>
        </is>
      </c>
      <c r="C21" t="n">
        <v>8</v>
      </c>
      <c r="D21" t="inlineStr">
        <is>
          <t>2026-05-02 21:51:41</t>
        </is>
      </c>
      <c r="E21" t="n">
        <v>94.3272</v>
      </c>
      <c r="F21" t="n">
        <v>93.97680200000001</v>
      </c>
      <c r="G21" t="n">
        <v>0.4995</v>
      </c>
      <c r="H21" t="n">
        <v>2.470593</v>
      </c>
      <c r="I21" t="n">
        <v>1.5277</v>
      </c>
      <c r="J21" t="n">
        <v>0.64585</v>
      </c>
      <c r="K21" t="n">
        <v>2.705475</v>
      </c>
      <c r="L21" t="n">
        <v>0.998627</v>
      </c>
      <c r="M21" t="n">
        <v>1</v>
      </c>
      <c r="N21" t="n">
        <v>2.1611</v>
      </c>
      <c r="O21" t="n">
        <v>0.069495</v>
      </c>
      <c r="P21" t="n">
        <v>17.1226</v>
      </c>
      <c r="Q21" t="n">
        <v>0.858143</v>
      </c>
      <c r="R21" t="n">
        <v>70.6314</v>
      </c>
      <c r="S21" t="n">
        <v>30.6141</v>
      </c>
      <c r="T21" t="n">
        <v>0</v>
      </c>
      <c r="U21" t="n">
        <v>0</v>
      </c>
      <c r="V21" t="n">
        <v>0</v>
      </c>
      <c r="W21" t="n">
        <v>0.996285</v>
      </c>
      <c r="X21" t="n">
        <v>475</v>
      </c>
      <c r="Y21" t="n">
        <v>0</v>
      </c>
      <c r="Z21" t="n">
        <v>0</v>
      </c>
    </row>
    <row r="22">
      <c r="A22" t="inlineStr">
        <is>
          <t>M0</t>
        </is>
      </c>
      <c r="B22" t="inlineStr">
        <is>
          <t>E2</t>
        </is>
      </c>
      <c r="C22" t="n">
        <v>9</v>
      </c>
      <c r="D22" t="inlineStr">
        <is>
          <t>2026-05-02 21:54:03</t>
        </is>
      </c>
      <c r="E22" t="n">
        <v>94.3032</v>
      </c>
      <c r="F22" t="n">
        <v>93.94950300000001</v>
      </c>
      <c r="G22" t="n">
        <v>0.5272</v>
      </c>
      <c r="H22" t="n">
        <v>4.086802</v>
      </c>
      <c r="I22" t="n">
        <v>4.443</v>
      </c>
      <c r="J22" t="n">
        <v>0.743</v>
      </c>
      <c r="K22" t="n">
        <v>3.67435</v>
      </c>
      <c r="L22" t="n">
        <v>0.998617</v>
      </c>
      <c r="M22" t="n">
        <v>1</v>
      </c>
      <c r="N22" t="n">
        <v>1.6959</v>
      </c>
      <c r="O22" t="n">
        <v>0.050731</v>
      </c>
      <c r="P22" t="n">
        <v>9.293699999999999</v>
      </c>
      <c r="Q22" t="n">
        <v>0.510099</v>
      </c>
      <c r="R22" t="n">
        <v>30.4483</v>
      </c>
      <c r="S22" t="n">
        <v>11.7184</v>
      </c>
      <c r="T22" t="n">
        <v>0</v>
      </c>
      <c r="U22" t="n">
        <v>0</v>
      </c>
      <c r="V22" t="n">
        <v>0</v>
      </c>
      <c r="W22" t="n">
        <v>0.9962490000000001</v>
      </c>
      <c r="X22" t="n">
        <v>405</v>
      </c>
      <c r="Y22" t="n">
        <v>0</v>
      </c>
      <c r="Z22" t="n">
        <v>0</v>
      </c>
    </row>
    <row r="23">
      <c r="A23" t="inlineStr">
        <is>
          <t>M0</t>
        </is>
      </c>
      <c r="B23" t="inlineStr">
        <is>
          <t>E2</t>
        </is>
      </c>
      <c r="C23" t="n">
        <v>10</v>
      </c>
      <c r="D23" t="inlineStr">
        <is>
          <t>2026-05-02 21:56:19</t>
        </is>
      </c>
      <c r="E23" t="n">
        <v>94.2941</v>
      </c>
      <c r="F23" t="n">
        <v>93.88</v>
      </c>
      <c r="G23" t="n">
        <v>0.4125</v>
      </c>
      <c r="H23" t="n">
        <v>2.459525</v>
      </c>
      <c r="I23" t="n">
        <v>1.8715</v>
      </c>
      <c r="J23" t="n">
        <v>0.62252</v>
      </c>
      <c r="K23" t="n">
        <v>2.4234</v>
      </c>
      <c r="L23" t="n">
        <v>0.997202</v>
      </c>
      <c r="M23" t="n">
        <v>1</v>
      </c>
      <c r="N23" t="n">
        <v>1.8034</v>
      </c>
      <c r="O23" t="n">
        <v>0.070088</v>
      </c>
      <c r="P23" t="n">
        <v>11.202</v>
      </c>
      <c r="Q23" t="n">
        <v>0.612107</v>
      </c>
      <c r="R23" t="n">
        <v>77.97750000000001</v>
      </c>
      <c r="S23" t="n">
        <v>30.9487</v>
      </c>
      <c r="T23" t="n">
        <v>0.5347</v>
      </c>
      <c r="U23" t="n">
        <v>0.3111</v>
      </c>
      <c r="V23" t="n">
        <v>1</v>
      </c>
      <c r="W23" t="n">
        <v>0.995608</v>
      </c>
      <c r="X23" t="n">
        <v>394</v>
      </c>
      <c r="Y23" t="n">
        <v>0</v>
      </c>
      <c r="Z23" t="n">
        <v>0</v>
      </c>
    </row>
    <row r="24">
      <c r="A24" t="inlineStr">
        <is>
          <t>M0</t>
        </is>
      </c>
      <c r="B24" t="inlineStr">
        <is>
          <t>E3</t>
        </is>
      </c>
      <c r="C24" t="n">
        <v>1</v>
      </c>
      <c r="D24" t="inlineStr">
        <is>
          <t>2026-05-03 14:21:29</t>
        </is>
      </c>
      <c r="E24" t="n">
        <v>94.02379999999999</v>
      </c>
      <c r="F24" t="n">
        <v>93.667401</v>
      </c>
      <c r="G24" t="n">
        <v>0.6048</v>
      </c>
      <c r="H24" t="n">
        <v>3.318446</v>
      </c>
      <c r="I24" t="n">
        <v>2.0372</v>
      </c>
      <c r="J24" t="n">
        <v>0.748855</v>
      </c>
      <c r="K24" t="n">
        <v>3.8136</v>
      </c>
      <c r="L24" t="n">
        <v>0.99927</v>
      </c>
      <c r="M24" t="n">
        <v>1</v>
      </c>
      <c r="N24" t="n">
        <v>2.6468</v>
      </c>
      <c r="O24" t="n">
        <v>0.08384999999999999</v>
      </c>
      <c r="P24" t="n">
        <v>23.6598</v>
      </c>
      <c r="Q24" t="n">
        <v>1.141971</v>
      </c>
      <c r="R24" t="n">
        <v>60.3117</v>
      </c>
      <c r="S24" t="n">
        <v>17.4025</v>
      </c>
      <c r="T24" t="n">
        <v>0</v>
      </c>
      <c r="U24" t="n">
        <v>0</v>
      </c>
      <c r="V24" t="n">
        <v>0</v>
      </c>
      <c r="W24" t="n">
        <v>0.996209</v>
      </c>
      <c r="X24" t="n">
        <v>579</v>
      </c>
      <c r="Y24" t="n">
        <v>0</v>
      </c>
      <c r="Z24" t="n">
        <v>0</v>
      </c>
    </row>
    <row r="25">
      <c r="A25" t="inlineStr">
        <is>
          <t>M0</t>
        </is>
      </c>
      <c r="B25" t="inlineStr">
        <is>
          <t>E3</t>
        </is>
      </c>
      <c r="C25" t="n">
        <v>2</v>
      </c>
      <c r="D25" t="inlineStr">
        <is>
          <t>2026-05-03 14:23:39</t>
        </is>
      </c>
      <c r="E25" t="n">
        <v>94.0068</v>
      </c>
      <c r="F25" t="n">
        <v>93.603812</v>
      </c>
      <c r="G25" t="n">
        <v>0.5737</v>
      </c>
      <c r="H25" t="n">
        <v>2.006875</v>
      </c>
      <c r="I25" t="n">
        <v>1.0461</v>
      </c>
      <c r="J25" t="n">
        <v>0.72102</v>
      </c>
      <c r="K25" t="n">
        <v>1.63205</v>
      </c>
      <c r="L25" t="n">
        <v>0.99869</v>
      </c>
      <c r="M25" t="n">
        <v>1</v>
      </c>
      <c r="N25" t="n">
        <v>2.5347</v>
      </c>
      <c r="O25" t="n">
        <v>0.080194</v>
      </c>
      <c r="P25" t="n">
        <v>23.4567</v>
      </c>
      <c r="Q25" t="n">
        <v>1.036409</v>
      </c>
      <c r="R25" t="n">
        <v>83.7573</v>
      </c>
      <c r="S25" t="n">
        <v>51.2324</v>
      </c>
      <c r="T25" t="n">
        <v>0</v>
      </c>
      <c r="U25" t="n">
        <v>0</v>
      </c>
      <c r="V25" t="n">
        <v>0</v>
      </c>
      <c r="W25" t="n">
        <v>0.995713</v>
      </c>
      <c r="X25" t="n">
        <v>592</v>
      </c>
      <c r="Y25" t="n">
        <v>0</v>
      </c>
      <c r="Z25" t="n">
        <v>0</v>
      </c>
    </row>
    <row r="26">
      <c r="A26" t="inlineStr">
        <is>
          <t>M0</t>
        </is>
      </c>
      <c r="B26" t="inlineStr">
        <is>
          <t>E3</t>
        </is>
      </c>
      <c r="C26" t="n">
        <v>3</v>
      </c>
      <c r="D26" t="inlineStr">
        <is>
          <t>2026-05-03 14:26:15</t>
        </is>
      </c>
      <c r="E26" t="n">
        <v>93.7769</v>
      </c>
      <c r="F26" t="n">
        <v>93.41760600000001</v>
      </c>
      <c r="G26" t="n">
        <v>0.6534</v>
      </c>
      <c r="H26" t="n">
        <v>2.091323</v>
      </c>
      <c r="I26" t="n">
        <v>0.96065</v>
      </c>
      <c r="J26" t="n">
        <v>0.71314</v>
      </c>
      <c r="K26" t="n">
        <v>2.1344</v>
      </c>
      <c r="L26" t="n">
        <v>0.99954</v>
      </c>
      <c r="M26" t="n">
        <v>1</v>
      </c>
      <c r="N26" t="n">
        <v>2.6813</v>
      </c>
      <c r="O26" t="n">
        <v>0.084522</v>
      </c>
      <c r="P26" t="n">
        <v>22.1722</v>
      </c>
      <c r="Q26" t="n">
        <v>1.005216</v>
      </c>
      <c r="R26" t="n">
        <v>74.7492</v>
      </c>
      <c r="S26" t="n">
        <v>53.4223</v>
      </c>
      <c r="T26" t="n">
        <v>0</v>
      </c>
      <c r="U26" t="n">
        <v>0</v>
      </c>
      <c r="V26" t="n">
        <v>0</v>
      </c>
      <c r="W26" t="n">
        <v>0.996169</v>
      </c>
      <c r="X26" t="n">
        <v>594</v>
      </c>
      <c r="Y26" t="n">
        <v>0</v>
      </c>
      <c r="Z26" t="n">
        <v>0</v>
      </c>
    </row>
    <row r="27">
      <c r="A27" t="inlineStr">
        <is>
          <t>M0</t>
        </is>
      </c>
      <c r="B27" t="inlineStr">
        <is>
          <t>E3</t>
        </is>
      </c>
      <c r="C27" t="n">
        <v>4</v>
      </c>
      <c r="D27" t="inlineStr">
        <is>
          <t>2026-05-03 14:28:33</t>
        </is>
      </c>
      <c r="E27" t="n">
        <v>93.7957</v>
      </c>
      <c r="F27" t="n">
        <v>93.416697</v>
      </c>
      <c r="G27" t="n">
        <v>0.6482</v>
      </c>
      <c r="H27" t="n">
        <v>2.744489</v>
      </c>
      <c r="I27" t="n">
        <v>1.3795</v>
      </c>
      <c r="J27" t="n">
        <v>0.74881</v>
      </c>
      <c r="K27" t="n">
        <v>3.18805</v>
      </c>
      <c r="L27" t="n">
        <v>0.9975270000000001</v>
      </c>
      <c r="M27" t="n">
        <v>1</v>
      </c>
      <c r="N27" t="n">
        <v>1.9936</v>
      </c>
      <c r="O27" t="n">
        <v>0.06496</v>
      </c>
      <c r="P27" t="n">
        <v>10.3595</v>
      </c>
      <c r="Q27" t="n">
        <v>0.504771</v>
      </c>
      <c r="R27" t="n">
        <v>67.37309999999999</v>
      </c>
      <c r="S27" t="n">
        <v>42.7153</v>
      </c>
      <c r="T27" t="n">
        <v>0</v>
      </c>
      <c r="U27" t="n">
        <v>0</v>
      </c>
      <c r="V27" t="n">
        <v>0</v>
      </c>
      <c r="W27" t="n">
        <v>0.995959</v>
      </c>
      <c r="X27" t="n">
        <v>584</v>
      </c>
      <c r="Y27" t="n">
        <v>0</v>
      </c>
      <c r="Z27" t="n">
        <v>0</v>
      </c>
    </row>
    <row r="28">
      <c r="A28" t="inlineStr">
        <is>
          <t>M0</t>
        </is>
      </c>
      <c r="B28" t="inlineStr">
        <is>
          <t>E3</t>
        </is>
      </c>
      <c r="C28" t="n">
        <v>5</v>
      </c>
      <c r="D28" t="inlineStr">
        <is>
          <t>2026-05-03 14:31:27</t>
        </is>
      </c>
      <c r="E28" t="n">
        <v>93.9676</v>
      </c>
      <c r="F28" t="n">
        <v>93.559606</v>
      </c>
      <c r="G28" t="n">
        <v>0.5976</v>
      </c>
      <c r="H28" t="n">
        <v>1.886342</v>
      </c>
      <c r="I28" t="n">
        <v>1.1992</v>
      </c>
      <c r="J28" t="n">
        <v>0.78994</v>
      </c>
      <c r="K28" t="n">
        <v>1.3904</v>
      </c>
      <c r="L28" t="n">
        <v>0.998933</v>
      </c>
      <c r="M28" t="n">
        <v>1</v>
      </c>
      <c r="N28" t="n">
        <v>2.6954</v>
      </c>
      <c r="O28" t="n">
        <v>0.08677</v>
      </c>
      <c r="P28" t="n">
        <v>22.3914</v>
      </c>
      <c r="Q28" t="n">
        <v>1.010216</v>
      </c>
      <c r="R28" t="n">
        <v>83.1752</v>
      </c>
      <c r="S28" t="n">
        <v>48.1879</v>
      </c>
      <c r="T28" t="n">
        <v>0</v>
      </c>
      <c r="U28" t="n">
        <v>0</v>
      </c>
      <c r="V28" t="n">
        <v>0</v>
      </c>
      <c r="W28" t="n">
        <v>0.995658</v>
      </c>
      <c r="X28" t="n">
        <v>586</v>
      </c>
      <c r="Y28" t="n">
        <v>0</v>
      </c>
      <c r="Z28" t="n">
        <v>0</v>
      </c>
    </row>
    <row r="29">
      <c r="A29" t="inlineStr">
        <is>
          <t>M0</t>
        </is>
      </c>
      <c r="B29" t="inlineStr">
        <is>
          <t>E3</t>
        </is>
      </c>
      <c r="C29" t="n">
        <v>6</v>
      </c>
      <c r="D29" t="inlineStr">
        <is>
          <t>2026-05-03 14:34:27</t>
        </is>
      </c>
      <c r="E29" t="n">
        <v>94.0772</v>
      </c>
      <c r="F29" t="n">
        <v>93.679401</v>
      </c>
      <c r="G29" t="n">
        <v>0.6802</v>
      </c>
      <c r="H29" t="n">
        <v>1.681587</v>
      </c>
      <c r="I29" t="n">
        <v>1.1404</v>
      </c>
      <c r="J29" t="n">
        <v>0.742215</v>
      </c>
      <c r="K29" t="n">
        <v>0.8534</v>
      </c>
      <c r="L29" t="n">
        <v>0.997759</v>
      </c>
      <c r="M29" t="n">
        <v>1</v>
      </c>
      <c r="N29" t="n">
        <v>2.2544</v>
      </c>
      <c r="O29" t="n">
        <v>0.072132</v>
      </c>
      <c r="P29" t="n">
        <v>14.3751</v>
      </c>
      <c r="Q29" t="n">
        <v>0.6896330000000001</v>
      </c>
      <c r="R29" t="n">
        <v>84.5891</v>
      </c>
      <c r="S29" t="n">
        <v>50.9877</v>
      </c>
      <c r="T29" t="n">
        <v>0</v>
      </c>
      <c r="U29" t="n">
        <v>0</v>
      </c>
      <c r="V29" t="n">
        <v>0</v>
      </c>
      <c r="W29" t="n">
        <v>0.995772</v>
      </c>
      <c r="X29" t="n">
        <v>611</v>
      </c>
      <c r="Y29" t="n">
        <v>0</v>
      </c>
      <c r="Z29" t="n">
        <v>0</v>
      </c>
    </row>
    <row r="30">
      <c r="A30" t="inlineStr">
        <is>
          <t>M0</t>
        </is>
      </c>
      <c r="B30" t="inlineStr">
        <is>
          <t>E3</t>
        </is>
      </c>
      <c r="C30" t="n">
        <v>7</v>
      </c>
      <c r="D30" t="inlineStr">
        <is>
          <t>2026-05-03 14:37:31</t>
        </is>
      </c>
      <c r="E30" t="n">
        <v>93.94110000000001</v>
      </c>
      <c r="F30" t="n">
        <v>93.56930699999999</v>
      </c>
      <c r="G30" t="n">
        <v>0.6273</v>
      </c>
      <c r="H30" t="n">
        <v>1.951802</v>
      </c>
      <c r="I30" t="n">
        <v>0.999</v>
      </c>
      <c r="J30" t="n">
        <v>0.75434</v>
      </c>
      <c r="K30" t="n">
        <v>1.79255</v>
      </c>
      <c r="L30" t="n">
        <v>0.997935</v>
      </c>
      <c r="M30" t="n">
        <v>1</v>
      </c>
      <c r="N30" t="n">
        <v>1.9686</v>
      </c>
      <c r="O30" t="n">
        <v>0.061456</v>
      </c>
      <c r="P30" t="n">
        <v>13.2152</v>
      </c>
      <c r="Q30" t="n">
        <v>0.667675</v>
      </c>
      <c r="R30" t="n">
        <v>82.82089999999999</v>
      </c>
      <c r="S30" t="n">
        <v>53.0298</v>
      </c>
      <c r="T30" t="n">
        <v>0</v>
      </c>
      <c r="U30" t="n">
        <v>0</v>
      </c>
      <c r="V30" t="n">
        <v>0</v>
      </c>
      <c r="W30" t="n">
        <v>0.996042</v>
      </c>
      <c r="X30" t="n">
        <v>576</v>
      </c>
      <c r="Y30" t="n">
        <v>0</v>
      </c>
      <c r="Z30" t="n">
        <v>0</v>
      </c>
    </row>
    <row r="31">
      <c r="A31" t="inlineStr">
        <is>
          <t>M0</t>
        </is>
      </c>
      <c r="B31" t="inlineStr">
        <is>
          <t>E3</t>
        </is>
      </c>
      <c r="C31" t="n">
        <v>8</v>
      </c>
      <c r="D31" t="inlineStr">
        <is>
          <t>2026-05-03 14:40:39</t>
        </is>
      </c>
      <c r="E31" t="n">
        <v>94.02630000000001</v>
      </c>
      <c r="F31" t="n">
        <v>93.6451</v>
      </c>
      <c r="G31" t="n">
        <v>0.5965</v>
      </c>
      <c r="H31" t="n">
        <v>2.48082</v>
      </c>
      <c r="I31" t="n">
        <v>1.70595</v>
      </c>
      <c r="J31" t="n">
        <v>0.74883</v>
      </c>
      <c r="K31" t="n">
        <v>3.00375</v>
      </c>
      <c r="L31" t="n">
        <v>0.997939</v>
      </c>
      <c r="M31" t="n">
        <v>1</v>
      </c>
      <c r="N31" t="n">
        <v>2.2948</v>
      </c>
      <c r="O31" t="n">
        <v>0.071877</v>
      </c>
      <c r="P31" t="n">
        <v>21.1856</v>
      </c>
      <c r="Q31" t="n">
        <v>0.927731</v>
      </c>
      <c r="R31" t="n">
        <v>67.7337</v>
      </c>
      <c r="S31" t="n">
        <v>42.2946</v>
      </c>
      <c r="T31" t="n">
        <v>0</v>
      </c>
      <c r="U31" t="n">
        <v>0</v>
      </c>
      <c r="V31" t="n">
        <v>0</v>
      </c>
      <c r="W31" t="n">
        <v>0.995946</v>
      </c>
      <c r="X31" t="n">
        <v>624</v>
      </c>
      <c r="Y31" t="n">
        <v>0</v>
      </c>
      <c r="Z31" t="n">
        <v>0</v>
      </c>
    </row>
    <row r="32">
      <c r="A32" t="inlineStr">
        <is>
          <t>M0</t>
        </is>
      </c>
      <c r="B32" t="inlineStr">
        <is>
          <t>E3</t>
        </is>
      </c>
      <c r="C32" t="n">
        <v>9</v>
      </c>
      <c r="D32" t="inlineStr">
        <is>
          <t>2026-05-03 14:42:58</t>
        </is>
      </c>
      <c r="E32" t="n">
        <v>94.01519999999999</v>
      </c>
      <c r="F32" t="n">
        <v>93.599019</v>
      </c>
      <c r="G32" t="n">
        <v>0.6506</v>
      </c>
      <c r="H32" t="n">
        <v>4.520292</v>
      </c>
      <c r="I32" t="n">
        <v>1.9539</v>
      </c>
      <c r="J32" t="n">
        <v>0.73098</v>
      </c>
      <c r="K32" t="n">
        <v>9.847524999999999</v>
      </c>
      <c r="L32" t="n">
        <v>0.996879</v>
      </c>
      <c r="M32" t="n">
        <v>1</v>
      </c>
      <c r="N32" t="n">
        <v>1.8453</v>
      </c>
      <c r="O32" t="n">
        <v>0.059862</v>
      </c>
      <c r="P32" t="n">
        <v>14.1763</v>
      </c>
      <c r="Q32" t="n">
        <v>0.647981</v>
      </c>
      <c r="R32" t="n">
        <v>59.7112</v>
      </c>
      <c r="S32" t="n">
        <v>40.6908</v>
      </c>
      <c r="T32" t="n">
        <v>0</v>
      </c>
      <c r="U32" t="n">
        <v>0</v>
      </c>
      <c r="V32" t="n">
        <v>0</v>
      </c>
      <c r="W32" t="n">
        <v>0.995573</v>
      </c>
      <c r="X32" t="n">
        <v>619</v>
      </c>
      <c r="Y32" t="n">
        <v>0</v>
      </c>
      <c r="Z32" t="n">
        <v>0</v>
      </c>
    </row>
    <row r="33">
      <c r="A33" t="inlineStr">
        <is>
          <t>M0</t>
        </is>
      </c>
      <c r="B33" t="inlineStr">
        <is>
          <t>E3</t>
        </is>
      </c>
      <c r="C33" t="n">
        <v>10</v>
      </c>
      <c r="D33" t="inlineStr">
        <is>
          <t>2026-05-03 14:19:12</t>
        </is>
      </c>
      <c r="E33" t="n">
        <v>93.9415</v>
      </c>
      <c r="F33" t="n">
        <v>93.529802</v>
      </c>
      <c r="G33" t="n">
        <v>0.6243</v>
      </c>
      <c r="H33" t="n">
        <v>5.848615</v>
      </c>
      <c r="I33" t="n">
        <v>2.7202</v>
      </c>
      <c r="J33" t="n">
        <v>0.75888</v>
      </c>
      <c r="K33" t="n">
        <v>10.89965</v>
      </c>
      <c r="L33" t="n">
        <v>0.999118</v>
      </c>
      <c r="M33" t="n">
        <v>1</v>
      </c>
      <c r="N33" t="n">
        <v>2.9907</v>
      </c>
      <c r="O33" t="n">
        <v>0.095738</v>
      </c>
      <c r="P33" t="n">
        <v>28.7282</v>
      </c>
      <c r="Q33" t="n">
        <v>1.22323</v>
      </c>
      <c r="R33" t="n">
        <v>51.6733</v>
      </c>
      <c r="S33" t="n">
        <v>29.8978</v>
      </c>
      <c r="T33" t="n">
        <v>0</v>
      </c>
      <c r="U33" t="n">
        <v>0</v>
      </c>
      <c r="V33" t="n">
        <v>0</v>
      </c>
      <c r="W33" t="n">
        <v>0.995618</v>
      </c>
      <c r="X33" t="n">
        <v>617</v>
      </c>
      <c r="Y33" t="n">
        <v>0</v>
      </c>
      <c r="Z33" t="n">
        <v>0</v>
      </c>
    </row>
    <row r="34">
      <c r="A34" t="inlineStr">
        <is>
          <t>M0</t>
        </is>
      </c>
      <c r="B34" t="inlineStr">
        <is>
          <t>E4</t>
        </is>
      </c>
      <c r="C34" t="n">
        <v>1</v>
      </c>
      <c r="D34" t="inlineStr">
        <is>
          <t>2026-05-03 16:53:23</t>
        </is>
      </c>
      <c r="E34" t="n">
        <v>94.095</v>
      </c>
      <c r="F34" t="n">
        <v>93.7902</v>
      </c>
      <c r="G34" t="n">
        <v>0.4526</v>
      </c>
      <c r="H34" t="n">
        <v>4.554035</v>
      </c>
      <c r="I34" t="n">
        <v>4.2662</v>
      </c>
      <c r="J34" t="n">
        <v>0.6976</v>
      </c>
      <c r="K34" t="n">
        <v>5.2807</v>
      </c>
      <c r="L34" t="n">
        <v>0.995108</v>
      </c>
      <c r="M34" t="n">
        <v>1</v>
      </c>
      <c r="N34" t="n">
        <v>1</v>
      </c>
      <c r="O34" t="n">
        <v>0.055431</v>
      </c>
      <c r="P34" t="n">
        <v>3.0783</v>
      </c>
      <c r="Q34" t="n">
        <v>0.259935</v>
      </c>
      <c r="R34" t="n">
        <v>43.4658</v>
      </c>
      <c r="S34" t="n">
        <v>19.7749</v>
      </c>
      <c r="T34" t="n">
        <v>0</v>
      </c>
      <c r="U34" t="n">
        <v>0.3236</v>
      </c>
      <c r="V34" t="n">
        <v>1</v>
      </c>
      <c r="W34" t="n">
        <v>0.996761</v>
      </c>
      <c r="X34" t="n">
        <v>366</v>
      </c>
      <c r="Y34" t="n">
        <v>0</v>
      </c>
      <c r="Z34" t="n">
        <v>0</v>
      </c>
    </row>
    <row r="35">
      <c r="A35" t="inlineStr">
        <is>
          <t>M0</t>
        </is>
      </c>
      <c r="B35" t="inlineStr">
        <is>
          <t>E4</t>
        </is>
      </c>
      <c r="C35" t="n">
        <v>2</v>
      </c>
      <c r="D35" t="inlineStr">
        <is>
          <t>2026-05-03 16:55:32</t>
        </is>
      </c>
      <c r="E35" t="n">
        <v>94.13549999999999</v>
      </c>
      <c r="F35" t="n">
        <v>93.8212</v>
      </c>
      <c r="G35" t="n">
        <v>0.5682</v>
      </c>
      <c r="H35" t="n">
        <v>2.810191</v>
      </c>
      <c r="I35" t="n">
        <v>1.1394</v>
      </c>
      <c r="J35" t="n">
        <v>0.770085</v>
      </c>
      <c r="K35" t="n">
        <v>3.54855</v>
      </c>
      <c r="L35" t="n">
        <v>0.995441</v>
      </c>
      <c r="M35" t="n">
        <v>1</v>
      </c>
      <c r="N35" t="n">
        <v>1</v>
      </c>
      <c r="O35" t="n">
        <v>0.04109</v>
      </c>
      <c r="P35" t="n">
        <v>4.6796</v>
      </c>
      <c r="Q35" t="n">
        <v>0.300518</v>
      </c>
      <c r="R35" t="n">
        <v>68.4641</v>
      </c>
      <c r="S35" t="n">
        <v>48.9908</v>
      </c>
      <c r="T35" t="n">
        <v>0</v>
      </c>
      <c r="U35" t="n">
        <v>0</v>
      </c>
      <c r="V35" t="n">
        <v>0</v>
      </c>
      <c r="W35" t="n">
        <v>0.996661</v>
      </c>
      <c r="X35" t="n">
        <v>363</v>
      </c>
      <c r="Y35" t="n">
        <v>0</v>
      </c>
      <c r="Z35" t="n">
        <v>0</v>
      </c>
    </row>
    <row r="36">
      <c r="A36" t="inlineStr">
        <is>
          <t>M0</t>
        </is>
      </c>
      <c r="B36" t="inlineStr">
        <is>
          <t>E4</t>
        </is>
      </c>
      <c r="C36" t="n">
        <v>3</v>
      </c>
      <c r="D36" t="inlineStr">
        <is>
          <t>2026-05-03 16:57:44</t>
        </is>
      </c>
      <c r="E36" t="n">
        <v>94.32980000000001</v>
      </c>
      <c r="F36" t="n">
        <v>93.949202</v>
      </c>
      <c r="G36" t="n">
        <v>0.4595</v>
      </c>
      <c r="H36" t="n">
        <v>2.985454</v>
      </c>
      <c r="I36" t="n">
        <v>1.96935</v>
      </c>
      <c r="J36" t="n">
        <v>0.57146</v>
      </c>
      <c r="K36" t="n">
        <v>3.7012</v>
      </c>
      <c r="L36" t="n">
        <v>0.994972</v>
      </c>
      <c r="M36" t="n">
        <v>1</v>
      </c>
      <c r="N36" t="n">
        <v>1</v>
      </c>
      <c r="O36" t="n">
        <v>0.043036</v>
      </c>
      <c r="P36" t="n">
        <v>3.301</v>
      </c>
      <c r="Q36" t="n">
        <v>0.255728</v>
      </c>
      <c r="R36" t="n">
        <v>65.0476</v>
      </c>
      <c r="S36" t="n">
        <v>37.2579</v>
      </c>
      <c r="T36" t="n">
        <v>0</v>
      </c>
      <c r="U36" t="n">
        <v>0</v>
      </c>
      <c r="V36" t="n">
        <v>0</v>
      </c>
      <c r="W36" t="n">
        <v>0.995965</v>
      </c>
      <c r="X36" t="n">
        <v>332</v>
      </c>
      <c r="Y36" t="n">
        <v>0</v>
      </c>
      <c r="Z36" t="n">
        <v>0</v>
      </c>
    </row>
    <row r="37">
      <c r="A37" t="inlineStr">
        <is>
          <t>M0</t>
        </is>
      </c>
      <c r="B37" t="inlineStr">
        <is>
          <t>E4</t>
        </is>
      </c>
      <c r="C37" t="n">
        <v>4</v>
      </c>
      <c r="D37" t="inlineStr">
        <is>
          <t>2026-05-03 17:00:05</t>
        </is>
      </c>
      <c r="E37" t="n">
        <v>94.343</v>
      </c>
      <c r="F37" t="n">
        <v>93.98800300000001</v>
      </c>
      <c r="G37" t="n">
        <v>0.5145999999999999</v>
      </c>
      <c r="H37" t="n">
        <v>3.499477</v>
      </c>
      <c r="I37" t="n">
        <v>2.2827</v>
      </c>
      <c r="J37" t="n">
        <v>0.60188</v>
      </c>
      <c r="K37" t="n">
        <v>5.108075</v>
      </c>
      <c r="L37" t="n">
        <v>0.999293</v>
      </c>
      <c r="M37" t="n">
        <v>1</v>
      </c>
      <c r="N37" t="n">
        <v>2.0856</v>
      </c>
      <c r="O37" t="n">
        <v>0.07513</v>
      </c>
      <c r="P37" t="n">
        <v>14.4011</v>
      </c>
      <c r="Q37" t="n">
        <v>0.81992</v>
      </c>
      <c r="R37" t="n">
        <v>59.5624</v>
      </c>
      <c r="S37" t="n">
        <v>33.7442</v>
      </c>
      <c r="T37" t="n">
        <v>0</v>
      </c>
      <c r="U37" t="n">
        <v>0</v>
      </c>
      <c r="V37" t="n">
        <v>0</v>
      </c>
      <c r="W37" t="n">
        <v>0.996237</v>
      </c>
      <c r="X37" t="n">
        <v>347</v>
      </c>
      <c r="Y37" t="n">
        <v>0</v>
      </c>
      <c r="Z37" t="n">
        <v>0</v>
      </c>
    </row>
    <row r="38">
      <c r="A38" t="inlineStr">
        <is>
          <t>M0</t>
        </is>
      </c>
      <c r="B38" t="inlineStr">
        <is>
          <t>E4</t>
        </is>
      </c>
      <c r="C38" t="n">
        <v>5</v>
      </c>
      <c r="D38" t="inlineStr">
        <is>
          <t>2026-05-03 17:01:49</t>
        </is>
      </c>
      <c r="E38" t="n">
        <v>78.01909999999999</v>
      </c>
      <c r="F38" t="n">
        <v>77.63815200000001</v>
      </c>
      <c r="G38" t="n">
        <v>0.3527</v>
      </c>
      <c r="H38" t="n">
        <v>3.559978</v>
      </c>
      <c r="I38" t="n">
        <v>2.08105</v>
      </c>
      <c r="J38" t="n">
        <v>0.58452</v>
      </c>
      <c r="K38" t="n">
        <v>5.9474</v>
      </c>
      <c r="L38" t="n">
        <v>0.9938979999999999</v>
      </c>
      <c r="M38" t="n">
        <v>1</v>
      </c>
      <c r="N38" t="n">
        <v>1</v>
      </c>
      <c r="O38" t="n">
        <v>0.048681</v>
      </c>
      <c r="P38" t="n">
        <v>3.252</v>
      </c>
      <c r="Q38" t="n">
        <v>0.288334</v>
      </c>
      <c r="R38" t="n">
        <v>50.2327</v>
      </c>
      <c r="S38" t="n">
        <v>32.21</v>
      </c>
      <c r="T38" t="n">
        <v>0.2147</v>
      </c>
      <c r="U38" t="n">
        <v>0</v>
      </c>
      <c r="V38" t="n">
        <v>0</v>
      </c>
      <c r="W38" t="n">
        <v>0.995117</v>
      </c>
      <c r="X38" t="n">
        <v>286</v>
      </c>
      <c r="Y38" t="n">
        <v>0</v>
      </c>
      <c r="Z38" t="n">
        <v>0</v>
      </c>
    </row>
    <row r="39">
      <c r="A39" t="inlineStr">
        <is>
          <t>M0</t>
        </is>
      </c>
      <c r="B39" t="inlineStr">
        <is>
          <t>E4</t>
        </is>
      </c>
      <c r="C39" t="n">
        <v>6</v>
      </c>
      <c r="D39" t="inlineStr">
        <is>
          <t>2026-05-03 17:05:03</t>
        </is>
      </c>
      <c r="E39" t="n">
        <v>93.8608</v>
      </c>
      <c r="F39" t="n">
        <v>93.495198</v>
      </c>
      <c r="G39" t="n">
        <v>0.5946</v>
      </c>
      <c r="H39" t="n">
        <v>6.466749</v>
      </c>
      <c r="I39" t="n">
        <v>6.5472</v>
      </c>
      <c r="J39" t="n">
        <v>0.79281</v>
      </c>
      <c r="K39" t="n">
        <v>5.428225</v>
      </c>
      <c r="L39" t="n">
        <v>0.997972</v>
      </c>
      <c r="M39" t="n">
        <v>1</v>
      </c>
      <c r="N39" t="n">
        <v>2.2552</v>
      </c>
      <c r="O39" t="n">
        <v>0.073077</v>
      </c>
      <c r="P39" t="n">
        <v>14.723</v>
      </c>
      <c r="Q39" t="n">
        <v>0.737544</v>
      </c>
      <c r="R39" t="n">
        <v>24.0254</v>
      </c>
      <c r="S39" t="n">
        <v>10.3332</v>
      </c>
      <c r="T39" t="n">
        <v>0</v>
      </c>
      <c r="U39" t="n">
        <v>0</v>
      </c>
      <c r="V39" t="n">
        <v>0</v>
      </c>
      <c r="W39" t="n">
        <v>0.996105</v>
      </c>
      <c r="X39" t="n">
        <v>583</v>
      </c>
      <c r="Y39" t="n">
        <v>0</v>
      </c>
      <c r="Z39" t="n">
        <v>0</v>
      </c>
    </row>
    <row r="40">
      <c r="A40" t="inlineStr">
        <is>
          <t>M0</t>
        </is>
      </c>
      <c r="B40" t="inlineStr">
        <is>
          <t>E4</t>
        </is>
      </c>
      <c r="C40" t="n">
        <v>7</v>
      </c>
      <c r="D40" t="inlineStr">
        <is>
          <t>2026-05-03 17:07:46</t>
        </is>
      </c>
      <c r="E40" t="n">
        <v>94.2432</v>
      </c>
      <c r="F40" t="n">
        <v>93.8511</v>
      </c>
      <c r="G40" t="n">
        <v>0.5582</v>
      </c>
      <c r="H40" t="n">
        <v>3.3387</v>
      </c>
      <c r="I40" t="n">
        <v>2.2868</v>
      </c>
      <c r="J40" t="n">
        <v>0.69375</v>
      </c>
      <c r="K40" t="n">
        <v>4.07585</v>
      </c>
      <c r="L40" t="n">
        <v>0.997289</v>
      </c>
      <c r="M40" t="n">
        <v>1</v>
      </c>
      <c r="N40" t="n">
        <v>1.7865</v>
      </c>
      <c r="O40" t="n">
        <v>0.059863</v>
      </c>
      <c r="P40" t="n">
        <v>12.6819</v>
      </c>
      <c r="Q40" t="n">
        <v>0.647273</v>
      </c>
      <c r="R40" t="n">
        <v>56.3678</v>
      </c>
      <c r="S40" t="n">
        <v>35.4397</v>
      </c>
      <c r="T40" t="n">
        <v>0</v>
      </c>
      <c r="U40" t="n">
        <v>0.1198</v>
      </c>
      <c r="V40" t="n">
        <v>1</v>
      </c>
      <c r="W40" t="n">
        <v>0.995839</v>
      </c>
      <c r="X40" t="n">
        <v>565</v>
      </c>
      <c r="Y40" t="n">
        <v>0</v>
      </c>
      <c r="Z40" t="n">
        <v>0</v>
      </c>
    </row>
    <row r="41">
      <c r="A41" t="inlineStr">
        <is>
          <t>M0</t>
        </is>
      </c>
      <c r="B41" t="inlineStr">
        <is>
          <t>E4</t>
        </is>
      </c>
      <c r="C41" t="n">
        <v>8</v>
      </c>
      <c r="D41" t="inlineStr">
        <is>
          <t>2026-05-03 17:09:42</t>
        </is>
      </c>
      <c r="E41" t="n">
        <v>93.77030000000001</v>
      </c>
      <c r="F41" t="n">
        <v>93.44679600000001</v>
      </c>
      <c r="G41" t="n">
        <v>0.5951</v>
      </c>
      <c r="H41" t="n">
        <v>3.80876</v>
      </c>
      <c r="I41" t="n">
        <v>3.7056</v>
      </c>
      <c r="J41" t="n">
        <v>0.99474</v>
      </c>
      <c r="K41" t="n">
        <v>2.7485</v>
      </c>
      <c r="L41" t="n">
        <v>0.998406</v>
      </c>
      <c r="M41" t="n">
        <v>1</v>
      </c>
      <c r="N41" t="n">
        <v>2.2454</v>
      </c>
      <c r="O41" t="n">
        <v>0.074571</v>
      </c>
      <c r="P41" t="n">
        <v>13.9071</v>
      </c>
      <c r="Q41" t="n">
        <v>0.729042</v>
      </c>
      <c r="R41" t="n">
        <v>44.604</v>
      </c>
      <c r="S41" t="n">
        <v>8.966699999999999</v>
      </c>
      <c r="T41" t="n">
        <v>0</v>
      </c>
      <c r="U41" t="n">
        <v>0.1312</v>
      </c>
      <c r="V41" t="n">
        <v>1</v>
      </c>
      <c r="W41" t="n">
        <v>0.99655</v>
      </c>
      <c r="X41" t="n">
        <v>546</v>
      </c>
      <c r="Y41" t="n">
        <v>0</v>
      </c>
      <c r="Z41" t="n">
        <v>0</v>
      </c>
    </row>
    <row r="42">
      <c r="A42" t="inlineStr">
        <is>
          <t>M0</t>
        </is>
      </c>
      <c r="B42" t="inlineStr">
        <is>
          <t>E4</t>
        </is>
      </c>
      <c r="C42" t="n">
        <v>9</v>
      </c>
      <c r="D42" t="inlineStr">
        <is>
          <t>2026-05-03 17:12:15</t>
        </is>
      </c>
      <c r="E42" t="n">
        <v>94.0408</v>
      </c>
      <c r="F42" t="n">
        <v>93.633298</v>
      </c>
      <c r="G42" t="n">
        <v>0.5585</v>
      </c>
      <c r="H42" t="n">
        <v>3.526673</v>
      </c>
      <c r="I42" t="n">
        <v>2.98405</v>
      </c>
      <c r="J42" t="n">
        <v>0.78834</v>
      </c>
      <c r="K42" t="n">
        <v>2.1167</v>
      </c>
      <c r="L42" t="n">
        <v>0.998575</v>
      </c>
      <c r="M42" t="n">
        <v>1</v>
      </c>
      <c r="N42" t="n">
        <v>2.3913</v>
      </c>
      <c r="O42" t="n">
        <v>0.078166</v>
      </c>
      <c r="P42" t="n">
        <v>15.737</v>
      </c>
      <c r="Q42" t="n">
        <v>0.779237</v>
      </c>
      <c r="R42" t="n">
        <v>54.6618</v>
      </c>
      <c r="S42" t="n">
        <v>12.3162</v>
      </c>
      <c r="T42" t="n">
        <v>0</v>
      </c>
      <c r="U42" t="n">
        <v>0</v>
      </c>
      <c r="V42" t="n">
        <v>0</v>
      </c>
      <c r="W42" t="n">
        <v>0.995667</v>
      </c>
      <c r="X42" t="n">
        <v>554</v>
      </c>
      <c r="Y42" t="n">
        <v>0</v>
      </c>
      <c r="Z42" t="n">
        <v>0</v>
      </c>
    </row>
    <row r="43">
      <c r="A43" t="inlineStr">
        <is>
          <t>M0</t>
        </is>
      </c>
      <c r="B43" t="inlineStr">
        <is>
          <t>E4</t>
        </is>
      </c>
      <c r="C43" t="n">
        <v>10</v>
      </c>
      <c r="D43" t="inlineStr">
        <is>
          <t>2026-05-03 16:49:03</t>
        </is>
      </c>
      <c r="E43" t="n">
        <v>94.10809999999999</v>
      </c>
      <c r="F43" t="n">
        <v>93.6777</v>
      </c>
      <c r="G43" t="n">
        <v>0.5074</v>
      </c>
      <c r="H43" t="n">
        <v>3.734993</v>
      </c>
      <c r="I43" t="n">
        <v>3.7447</v>
      </c>
      <c r="J43" t="n">
        <v>0.67525</v>
      </c>
      <c r="K43" t="n">
        <v>4.5186</v>
      </c>
      <c r="L43" t="n">
        <v>0.994318</v>
      </c>
      <c r="M43" t="n">
        <v>1</v>
      </c>
      <c r="N43" t="n">
        <v>1</v>
      </c>
      <c r="O43" t="n">
        <v>0.055983</v>
      </c>
      <c r="P43" t="n">
        <v>2.6793</v>
      </c>
      <c r="Q43" t="n">
        <v>0.235377</v>
      </c>
      <c r="R43" t="n">
        <v>46.7032</v>
      </c>
      <c r="S43" t="n">
        <v>20.585</v>
      </c>
      <c r="T43" t="n">
        <v>0</v>
      </c>
      <c r="U43" t="n">
        <v>0</v>
      </c>
      <c r="V43" t="n">
        <v>0</v>
      </c>
      <c r="W43" t="n">
        <v>0.995427</v>
      </c>
      <c r="X43" t="n">
        <v>365</v>
      </c>
      <c r="Y43" t="n">
        <v>0</v>
      </c>
      <c r="Z43" t="n">
        <v>0</v>
      </c>
    </row>
    <row r="44">
      <c r="A44" t="inlineStr">
        <is>
          <t>M1</t>
        </is>
      </c>
      <c r="B44" t="inlineStr">
        <is>
          <t>E1</t>
        </is>
      </c>
      <c r="C44" t="n">
        <v>1</v>
      </c>
      <c r="D44" t="inlineStr">
        <is>
          <t>2026-05-02 19:11:32</t>
        </is>
      </c>
      <c r="E44" t="n">
        <v>108.3674</v>
      </c>
      <c r="F44" t="n">
        <v>93.50380699999999</v>
      </c>
      <c r="G44" t="n">
        <v>0.6732</v>
      </c>
      <c r="H44" t="n">
        <v>9.316081000000001</v>
      </c>
      <c r="I44" t="n">
        <v>12</v>
      </c>
      <c r="J44" t="n">
        <v>0.87107</v>
      </c>
      <c r="K44" t="n">
        <v>5.10425</v>
      </c>
      <c r="L44" t="n">
        <v>0.871833</v>
      </c>
      <c r="M44" t="n">
        <v>1</v>
      </c>
      <c r="N44" t="n">
        <v>1.3364</v>
      </c>
      <c r="O44" t="n">
        <v>0.330213</v>
      </c>
      <c r="P44" t="n">
        <v>5.0214</v>
      </c>
      <c r="Q44" t="n">
        <v>0.433964</v>
      </c>
      <c r="R44" t="n">
        <v>20.946</v>
      </c>
      <c r="S44" t="n">
        <v>13.2629</v>
      </c>
      <c r="T44" t="n">
        <v>0</v>
      </c>
      <c r="U44" t="n">
        <v>13.5455</v>
      </c>
      <c r="V44" t="n">
        <v>2</v>
      </c>
      <c r="W44" t="n">
        <v>0.862841</v>
      </c>
      <c r="X44" t="n">
        <v>456</v>
      </c>
      <c r="Y44" t="n">
        <v>0</v>
      </c>
      <c r="Z44" t="n">
        <v>0</v>
      </c>
    </row>
    <row r="45">
      <c r="A45" t="inlineStr">
        <is>
          <t>M1</t>
        </is>
      </c>
      <c r="B45" t="inlineStr">
        <is>
          <t>E1</t>
        </is>
      </c>
      <c r="C45" t="n">
        <v>2</v>
      </c>
      <c r="D45" t="inlineStr">
        <is>
          <t>2026-05-02 19:14:01</t>
        </is>
      </c>
      <c r="E45" t="n">
        <v>109.8503</v>
      </c>
      <c r="F45" t="n">
        <v>93.91080100000001</v>
      </c>
      <c r="G45" t="n">
        <v>0.6768999999999999</v>
      </c>
      <c r="H45" t="n">
        <v>9.101661</v>
      </c>
      <c r="I45" t="n">
        <v>12</v>
      </c>
      <c r="J45" t="n">
        <v>0.87119</v>
      </c>
      <c r="K45" t="n">
        <v>6.1194</v>
      </c>
      <c r="L45" t="n">
        <v>0.85719</v>
      </c>
      <c r="M45" t="n">
        <v>1</v>
      </c>
      <c r="N45" t="n">
        <v>1.5061</v>
      </c>
      <c r="O45" t="n">
        <v>0.347613</v>
      </c>
      <c r="P45" t="n">
        <v>6.3097</v>
      </c>
      <c r="Q45" t="n">
        <v>0.495961</v>
      </c>
      <c r="R45" t="n">
        <v>22.2961</v>
      </c>
      <c r="S45" t="n">
        <v>15.0101</v>
      </c>
      <c r="T45" t="n">
        <v>0</v>
      </c>
      <c r="U45" t="n">
        <v>14.9799</v>
      </c>
      <c r="V45" t="n">
        <v>2</v>
      </c>
      <c r="W45" t="n">
        <v>0.854898</v>
      </c>
      <c r="X45" t="n">
        <v>348</v>
      </c>
      <c r="Y45" t="n">
        <v>0</v>
      </c>
      <c r="Z45" t="n">
        <v>0</v>
      </c>
    </row>
    <row r="46">
      <c r="A46" t="inlineStr">
        <is>
          <t>M1</t>
        </is>
      </c>
      <c r="B46" t="inlineStr">
        <is>
          <t>E1</t>
        </is>
      </c>
      <c r="C46" t="n">
        <v>3</v>
      </c>
      <c r="D46" t="inlineStr">
        <is>
          <t>2026-05-02 19:28:13</t>
        </is>
      </c>
      <c r="E46" t="n">
        <v>111.6146</v>
      </c>
      <c r="F46" t="n">
        <v>93.811401</v>
      </c>
      <c r="G46" t="n">
        <v>0.7003</v>
      </c>
      <c r="H46" t="n">
        <v>9.015567000000001</v>
      </c>
      <c r="I46" t="n">
        <v>12</v>
      </c>
      <c r="J46" t="n">
        <v>0.8675</v>
      </c>
      <c r="K46" t="n">
        <v>6.49365</v>
      </c>
      <c r="L46" t="n">
        <v>0.846625</v>
      </c>
      <c r="M46" t="n">
        <v>1</v>
      </c>
      <c r="N46" t="n">
        <v>2.1333</v>
      </c>
      <c r="O46" t="n">
        <v>0.362786</v>
      </c>
      <c r="P46" t="n">
        <v>18.4462</v>
      </c>
      <c r="Q46" t="n">
        <v>0.993035</v>
      </c>
      <c r="R46" t="n">
        <v>23.8</v>
      </c>
      <c r="S46" t="n">
        <v>17.2737</v>
      </c>
      <c r="T46" t="n">
        <v>0</v>
      </c>
      <c r="U46" t="n">
        <v>16.8081</v>
      </c>
      <c r="V46" t="n">
        <v>3</v>
      </c>
      <c r="W46" t="n">
        <v>0.840494</v>
      </c>
      <c r="X46" t="n">
        <v>492</v>
      </c>
      <c r="Y46" t="n">
        <v>0</v>
      </c>
      <c r="Z46" t="n">
        <v>0</v>
      </c>
    </row>
    <row r="47">
      <c r="A47" t="inlineStr">
        <is>
          <t>M1</t>
        </is>
      </c>
      <c r="B47" t="inlineStr">
        <is>
          <t>E1</t>
        </is>
      </c>
      <c r="C47" t="n">
        <v>4</v>
      </c>
      <c r="D47" t="inlineStr">
        <is>
          <t>2026-05-02 19:30:34</t>
        </is>
      </c>
      <c r="E47" t="n">
        <v>109.2821</v>
      </c>
      <c r="F47" t="n">
        <v>93.993606</v>
      </c>
      <c r="G47" t="n">
        <v>0.543</v>
      </c>
      <c r="H47" t="n">
        <v>9.14005</v>
      </c>
      <c r="I47" t="n">
        <v>12</v>
      </c>
      <c r="J47" t="n">
        <v>0.89306</v>
      </c>
      <c r="K47" t="n">
        <v>5.96955</v>
      </c>
      <c r="L47" t="n">
        <v>0.863772</v>
      </c>
      <c r="M47" t="n">
        <v>1</v>
      </c>
      <c r="N47" t="n">
        <v>1.9781</v>
      </c>
      <c r="O47" t="n">
        <v>0.345269</v>
      </c>
      <c r="P47" t="n">
        <v>17.8279</v>
      </c>
      <c r="Q47" t="n">
        <v>0.992292</v>
      </c>
      <c r="R47" t="n">
        <v>21.6601</v>
      </c>
      <c r="S47" t="n">
        <v>14.0899</v>
      </c>
      <c r="T47" t="n">
        <v>0</v>
      </c>
      <c r="U47" t="n">
        <v>14.3344</v>
      </c>
      <c r="V47" t="n">
        <v>2</v>
      </c>
      <c r="W47" t="n">
        <v>0.860101</v>
      </c>
      <c r="X47" t="n">
        <v>377</v>
      </c>
      <c r="Y47" t="n">
        <v>0</v>
      </c>
      <c r="Z47" t="n">
        <v>0</v>
      </c>
    </row>
    <row r="48">
      <c r="A48" t="inlineStr">
        <is>
          <t>M1</t>
        </is>
      </c>
      <c r="B48" t="inlineStr">
        <is>
          <t>E1</t>
        </is>
      </c>
      <c r="C48" t="n">
        <v>5</v>
      </c>
      <c r="D48" t="inlineStr">
        <is>
          <t>2026-05-02 19:32:45</t>
        </is>
      </c>
      <c r="E48" t="n">
        <v>105.1636</v>
      </c>
      <c r="F48" t="n">
        <v>93.655697</v>
      </c>
      <c r="G48" t="n">
        <v>0.581</v>
      </c>
      <c r="H48" t="n">
        <v>9.400605000000001</v>
      </c>
      <c r="I48" t="n">
        <v>12</v>
      </c>
      <c r="J48" t="n">
        <v>0.88334</v>
      </c>
      <c r="K48" t="n">
        <v>4.8953</v>
      </c>
      <c r="L48" t="n">
        <v>0.891764</v>
      </c>
      <c r="M48" t="n">
        <v>1</v>
      </c>
      <c r="N48" t="n">
        <v>1.189</v>
      </c>
      <c r="O48" t="n">
        <v>0.305414</v>
      </c>
      <c r="P48" t="n">
        <v>3.567</v>
      </c>
      <c r="Q48" t="n">
        <v>0.394416</v>
      </c>
      <c r="R48" t="n">
        <v>18.1034</v>
      </c>
      <c r="S48" t="n">
        <v>10.6922</v>
      </c>
      <c r="T48" t="n">
        <v>0</v>
      </c>
      <c r="U48" t="n">
        <v>10.5745</v>
      </c>
      <c r="V48" t="n">
        <v>2</v>
      </c>
      <c r="W48" t="n">
        <v>0.890571</v>
      </c>
      <c r="X48" t="n">
        <v>362</v>
      </c>
      <c r="Y48" t="n">
        <v>0</v>
      </c>
      <c r="Z48" t="n">
        <v>0</v>
      </c>
    </row>
    <row r="49">
      <c r="A49" t="inlineStr">
        <is>
          <t>M1</t>
        </is>
      </c>
      <c r="B49" t="inlineStr">
        <is>
          <t>E1</t>
        </is>
      </c>
      <c r="C49" t="n">
        <v>6</v>
      </c>
      <c r="D49" t="inlineStr">
        <is>
          <t>2026-05-02 19:34:59</t>
        </is>
      </c>
      <c r="E49" t="n">
        <v>104.1911</v>
      </c>
      <c r="F49" t="n">
        <v>94.00090400000001</v>
      </c>
      <c r="G49" t="n">
        <v>0.6675</v>
      </c>
      <c r="H49" t="n">
        <v>9.541347</v>
      </c>
      <c r="I49" t="n">
        <v>12</v>
      </c>
      <c r="J49" t="n">
        <v>0.8900400000000001</v>
      </c>
      <c r="K49" t="n">
        <v>4.402</v>
      </c>
      <c r="L49" t="n">
        <v>0.908502</v>
      </c>
      <c r="M49" t="n">
        <v>1</v>
      </c>
      <c r="N49" t="n">
        <v>1.969</v>
      </c>
      <c r="O49" t="n">
        <v>0.291658</v>
      </c>
      <c r="P49" t="n">
        <v>15.7092</v>
      </c>
      <c r="Q49" t="n">
        <v>0.910979</v>
      </c>
      <c r="R49" t="n">
        <v>16.2957</v>
      </c>
      <c r="S49" t="n">
        <v>9.551399999999999</v>
      </c>
      <c r="T49" t="n">
        <v>0</v>
      </c>
      <c r="U49" t="n">
        <v>9.3276</v>
      </c>
      <c r="V49" t="n">
        <v>2</v>
      </c>
      <c r="W49" t="n">
        <v>0.902197</v>
      </c>
      <c r="X49" t="n">
        <v>362</v>
      </c>
      <c r="Y49" t="n">
        <v>0</v>
      </c>
      <c r="Z49" t="n">
        <v>0</v>
      </c>
    </row>
    <row r="50">
      <c r="A50" t="inlineStr">
        <is>
          <t>M1</t>
        </is>
      </c>
      <c r="B50" t="inlineStr">
        <is>
          <t>E1</t>
        </is>
      </c>
      <c r="C50" t="n">
        <v>7</v>
      </c>
      <c r="D50" t="inlineStr">
        <is>
          <t>2026-05-02 19:37:27</t>
        </is>
      </c>
      <c r="E50" t="n">
        <v>103.6178</v>
      </c>
      <c r="F50" t="n">
        <v>93.642398</v>
      </c>
      <c r="G50" t="n">
        <v>0.7964</v>
      </c>
      <c r="H50" t="n">
        <v>9.562599000000001</v>
      </c>
      <c r="I50" t="n">
        <v>12</v>
      </c>
      <c r="J50" t="n">
        <v>0.893155</v>
      </c>
      <c r="K50" t="n">
        <v>4.312825</v>
      </c>
      <c r="L50" t="n">
        <v>0.904556</v>
      </c>
      <c r="M50" t="n">
        <v>1</v>
      </c>
      <c r="N50" t="n">
        <v>1.3067</v>
      </c>
      <c r="O50" t="n">
        <v>0.288983</v>
      </c>
      <c r="P50" t="n">
        <v>4.6161</v>
      </c>
      <c r="Q50" t="n">
        <v>0.458942</v>
      </c>
      <c r="R50" t="n">
        <v>16.1067</v>
      </c>
      <c r="S50" t="n">
        <v>8.778600000000001</v>
      </c>
      <c r="T50" t="n">
        <v>0</v>
      </c>
      <c r="U50" t="n">
        <v>8.8317</v>
      </c>
      <c r="V50" t="n">
        <v>2</v>
      </c>
      <c r="W50" t="n">
        <v>0.903729</v>
      </c>
      <c r="X50" t="n">
        <v>421</v>
      </c>
      <c r="Y50" t="n">
        <v>0</v>
      </c>
      <c r="Z50" t="n">
        <v>0</v>
      </c>
    </row>
    <row r="51">
      <c r="A51" t="inlineStr">
        <is>
          <t>M1</t>
        </is>
      </c>
      <c r="B51" t="inlineStr">
        <is>
          <t>E1</t>
        </is>
      </c>
      <c r="C51" t="n">
        <v>8</v>
      </c>
      <c r="D51" t="inlineStr">
        <is>
          <t>2026-05-02 19:39:54</t>
        </is>
      </c>
      <c r="E51" t="n">
        <v>102.1777</v>
      </c>
      <c r="F51" t="n">
        <v>93.99390200000001</v>
      </c>
      <c r="G51" t="n">
        <v>0.6372</v>
      </c>
      <c r="H51" t="n">
        <v>9.650506</v>
      </c>
      <c r="I51" t="n">
        <v>12</v>
      </c>
      <c r="J51" t="n">
        <v>0.930095</v>
      </c>
      <c r="K51" t="n">
        <v>3.93875</v>
      </c>
      <c r="L51" t="n">
        <v>0.92103</v>
      </c>
      <c r="M51" t="n">
        <v>1</v>
      </c>
      <c r="N51" t="n">
        <v>1.925</v>
      </c>
      <c r="O51" t="n">
        <v>0.272823</v>
      </c>
      <c r="P51" t="n">
        <v>14.9671</v>
      </c>
      <c r="Q51" t="n">
        <v>0.88662</v>
      </c>
      <c r="R51" t="n">
        <v>14.7726</v>
      </c>
      <c r="S51" t="n">
        <v>7.6849</v>
      </c>
      <c r="T51" t="n">
        <v>0</v>
      </c>
      <c r="U51" t="n">
        <v>7.3058</v>
      </c>
      <c r="V51" t="n">
        <v>2</v>
      </c>
      <c r="W51" t="n">
        <v>0.919906</v>
      </c>
      <c r="X51" t="n">
        <v>357</v>
      </c>
      <c r="Y51" t="n">
        <v>0</v>
      </c>
      <c r="Z51" t="n">
        <v>0</v>
      </c>
    </row>
    <row r="52">
      <c r="A52" t="inlineStr">
        <is>
          <t>M1</t>
        </is>
      </c>
      <c r="B52" t="inlineStr">
        <is>
          <t>E1</t>
        </is>
      </c>
      <c r="C52" t="n">
        <v>9</v>
      </c>
      <c r="D52" t="inlineStr">
        <is>
          <t>2026-05-02 19:42:16</t>
        </is>
      </c>
      <c r="E52" t="n">
        <v>102.1332</v>
      </c>
      <c r="F52" t="n">
        <v>94.02050199999999</v>
      </c>
      <c r="G52" t="n">
        <v>0.6797</v>
      </c>
      <c r="H52" t="n">
        <v>9.707084999999999</v>
      </c>
      <c r="I52" t="n">
        <v>12</v>
      </c>
      <c r="J52" t="n">
        <v>0.97354</v>
      </c>
      <c r="K52" t="n">
        <v>3.77725</v>
      </c>
      <c r="L52" t="n">
        <v>0.925336</v>
      </c>
      <c r="M52" t="n">
        <v>1</v>
      </c>
      <c r="N52" t="n">
        <v>1.8389</v>
      </c>
      <c r="O52" t="n">
        <v>0.264466</v>
      </c>
      <c r="P52" t="n">
        <v>11.9927</v>
      </c>
      <c r="Q52" t="n">
        <v>0.740112</v>
      </c>
      <c r="R52" t="n">
        <v>14.9436</v>
      </c>
      <c r="S52" t="n">
        <v>7.4615</v>
      </c>
      <c r="T52" t="n">
        <v>0</v>
      </c>
      <c r="U52" t="n">
        <v>7.2331</v>
      </c>
      <c r="V52" t="n">
        <v>2</v>
      </c>
      <c r="W52" t="n">
        <v>0.920567</v>
      </c>
      <c r="X52" t="n">
        <v>352</v>
      </c>
      <c r="Y52" t="n">
        <v>0</v>
      </c>
      <c r="Z52" t="n">
        <v>0</v>
      </c>
    </row>
    <row r="53">
      <c r="A53" t="inlineStr">
        <is>
          <t>M1</t>
        </is>
      </c>
      <c r="B53" t="inlineStr">
        <is>
          <t>E1</t>
        </is>
      </c>
      <c r="C53" t="n">
        <v>10</v>
      </c>
      <c r="D53" t="inlineStr">
        <is>
          <t>2026-05-02 19:44:27</t>
        </is>
      </c>
      <c r="E53" t="n">
        <v>106.4299</v>
      </c>
      <c r="F53" t="n">
        <v>93.355992</v>
      </c>
      <c r="G53" t="n">
        <v>0.6223</v>
      </c>
      <c r="H53" t="n">
        <v>9.238227</v>
      </c>
      <c r="I53" t="n">
        <v>12</v>
      </c>
      <c r="J53" t="n">
        <v>0.89158</v>
      </c>
      <c r="K53" t="n">
        <v>5.5338</v>
      </c>
      <c r="L53" t="n">
        <v>0.879325</v>
      </c>
      <c r="M53" t="n">
        <v>1</v>
      </c>
      <c r="N53" t="n">
        <v>1.5381</v>
      </c>
      <c r="O53" t="n">
        <v>0.323814</v>
      </c>
      <c r="P53" t="n">
        <v>5.036</v>
      </c>
      <c r="Q53" t="n">
        <v>0.457055</v>
      </c>
      <c r="R53" t="n">
        <v>19.7588</v>
      </c>
      <c r="S53" t="n">
        <v>12.5278</v>
      </c>
      <c r="T53" t="n">
        <v>0</v>
      </c>
      <c r="U53" t="n">
        <v>12.1626</v>
      </c>
      <c r="V53" t="n">
        <v>2</v>
      </c>
      <c r="W53" t="n">
        <v>0.877159</v>
      </c>
      <c r="X53" t="n">
        <v>362</v>
      </c>
      <c r="Y53" t="n">
        <v>0</v>
      </c>
      <c r="Z53" t="n">
        <v>0</v>
      </c>
    </row>
    <row r="54">
      <c r="A54" t="inlineStr">
        <is>
          <t>M1</t>
        </is>
      </c>
      <c r="B54" t="inlineStr">
        <is>
          <t>E2</t>
        </is>
      </c>
      <c r="C54" t="n">
        <v>1</v>
      </c>
      <c r="D54" t="inlineStr">
        <is>
          <t>2026-05-03 08:16:36</t>
        </is>
      </c>
      <c r="E54" t="n">
        <v>120.2002</v>
      </c>
      <c r="F54" t="n">
        <v>93.82689999999999</v>
      </c>
      <c r="G54" t="n">
        <v>0.6788</v>
      </c>
      <c r="H54" t="n">
        <v>4.982127</v>
      </c>
      <c r="I54" t="n">
        <v>1.7504</v>
      </c>
      <c r="J54" t="n">
        <v>0.8980050000000001</v>
      </c>
      <c r="K54" t="n">
        <v>8.755174999999999</v>
      </c>
      <c r="L54" t="n">
        <v>0.783239</v>
      </c>
      <c r="M54" t="n">
        <v>1</v>
      </c>
      <c r="N54" t="n">
        <v>1.698</v>
      </c>
      <c r="O54" t="n">
        <v>0.385614</v>
      </c>
      <c r="P54" t="n">
        <v>11.437</v>
      </c>
      <c r="Q54" t="n">
        <v>1.132957</v>
      </c>
      <c r="R54" t="n">
        <v>69.8467</v>
      </c>
      <c r="S54" t="n">
        <v>16.3372</v>
      </c>
      <c r="T54" t="n">
        <v>0</v>
      </c>
      <c r="U54" t="n">
        <v>18.2612</v>
      </c>
      <c r="V54" t="n">
        <v>19</v>
      </c>
      <c r="W54" t="n">
        <v>0.780589</v>
      </c>
      <c r="X54" t="n">
        <v>671</v>
      </c>
      <c r="Y54" t="n">
        <v>0</v>
      </c>
      <c r="Z54" t="n">
        <v>0</v>
      </c>
    </row>
    <row r="55">
      <c r="A55" t="inlineStr">
        <is>
          <t>M1</t>
        </is>
      </c>
      <c r="B55" t="inlineStr">
        <is>
          <t>E2</t>
        </is>
      </c>
      <c r="C55" t="n">
        <v>2</v>
      </c>
      <c r="D55" t="inlineStr">
        <is>
          <t>2026-05-03 08:21:12</t>
        </is>
      </c>
      <c r="E55" t="n">
        <v>128.2291</v>
      </c>
      <c r="F55" t="n">
        <v>94.162527</v>
      </c>
      <c r="G55" t="n">
        <v>0.7221</v>
      </c>
      <c r="H55" t="n">
        <v>4.010618</v>
      </c>
      <c r="I55" t="n">
        <v>1.43505</v>
      </c>
      <c r="J55" t="n">
        <v>0.91412</v>
      </c>
      <c r="K55" t="n">
        <v>5.0928</v>
      </c>
      <c r="L55" t="n">
        <v>0.737642</v>
      </c>
      <c r="M55" t="n">
        <v>0.9992</v>
      </c>
      <c r="N55" t="n">
        <v>1</v>
      </c>
      <c r="O55" t="n">
        <v>0.391517</v>
      </c>
      <c r="P55" t="n">
        <v>4.386</v>
      </c>
      <c r="Q55" t="n">
        <v>1.353887</v>
      </c>
      <c r="R55" t="n">
        <v>86.5476</v>
      </c>
      <c r="S55" t="n">
        <v>12.5676</v>
      </c>
      <c r="T55" t="n">
        <v>0</v>
      </c>
      <c r="U55" t="n">
        <v>19.8457</v>
      </c>
      <c r="V55" t="n">
        <v>44</v>
      </c>
      <c r="W55" t="n">
        <v>0.73433</v>
      </c>
      <c r="X55" t="n">
        <v>838</v>
      </c>
      <c r="Y55" t="n">
        <v>0</v>
      </c>
      <c r="Z55" t="n">
        <v>0</v>
      </c>
    </row>
    <row r="56">
      <c r="A56" t="inlineStr">
        <is>
          <t>M1</t>
        </is>
      </c>
      <c r="B56" t="inlineStr">
        <is>
          <t>E2</t>
        </is>
      </c>
      <c r="C56" t="n">
        <v>3</v>
      </c>
      <c r="D56" t="inlineStr">
        <is>
          <t>2026-05-03 08:25:43</t>
        </is>
      </c>
      <c r="E56" t="n">
        <v>117.0799</v>
      </c>
      <c r="F56" t="n">
        <v>94.22992499999999</v>
      </c>
      <c r="G56" t="n">
        <v>0.7245</v>
      </c>
      <c r="H56" t="n">
        <v>5.294465</v>
      </c>
      <c r="I56" t="n">
        <v>2.0918</v>
      </c>
      <c r="J56" t="n">
        <v>0.89944</v>
      </c>
      <c r="K56" t="n">
        <v>10.5805</v>
      </c>
      <c r="L56" t="n">
        <v>0.811739</v>
      </c>
      <c r="M56" t="n">
        <v>1</v>
      </c>
      <c r="N56" t="n">
        <v>1</v>
      </c>
      <c r="O56" t="n">
        <v>0.370159</v>
      </c>
      <c r="P56" t="n">
        <v>4.231</v>
      </c>
      <c r="Q56" t="n">
        <v>0.83421</v>
      </c>
      <c r="R56" t="n">
        <v>66.8434</v>
      </c>
      <c r="S56" t="n">
        <v>17.1042</v>
      </c>
      <c r="T56" t="n">
        <v>0</v>
      </c>
      <c r="U56" t="n">
        <v>18.0613</v>
      </c>
      <c r="V56" t="n">
        <v>12</v>
      </c>
      <c r="W56" t="n">
        <v>0.804834</v>
      </c>
      <c r="X56" t="n">
        <v>774</v>
      </c>
      <c r="Y56" t="n">
        <v>0</v>
      </c>
      <c r="Z56" t="n">
        <v>0</v>
      </c>
    </row>
    <row r="57">
      <c r="A57" t="inlineStr">
        <is>
          <t>M1</t>
        </is>
      </c>
      <c r="B57" t="inlineStr">
        <is>
          <t>E2</t>
        </is>
      </c>
      <c r="C57" t="n">
        <v>4</v>
      </c>
      <c r="D57" t="inlineStr">
        <is>
          <t>2026-05-03 08:29:20</t>
        </is>
      </c>
      <c r="E57" t="n">
        <v>120.0959</v>
      </c>
      <c r="F57" t="n">
        <v>94.09191800000001</v>
      </c>
      <c r="G57" t="n">
        <v>0.6967</v>
      </c>
      <c r="H57" t="n">
        <v>5.05279</v>
      </c>
      <c r="I57" t="n">
        <v>1.8195</v>
      </c>
      <c r="J57" t="n">
        <v>0.864225</v>
      </c>
      <c r="K57" t="n">
        <v>9.601775</v>
      </c>
      <c r="L57" t="n">
        <v>0.787779</v>
      </c>
      <c r="M57" t="n">
        <v>1</v>
      </c>
      <c r="N57" t="n">
        <v>1</v>
      </c>
      <c r="O57" t="n">
        <v>0.380941</v>
      </c>
      <c r="P57" t="n">
        <v>4.1684</v>
      </c>
      <c r="Q57" t="n">
        <v>1.048409</v>
      </c>
      <c r="R57" t="n">
        <v>70.8835</v>
      </c>
      <c r="S57" t="n">
        <v>17.3967</v>
      </c>
      <c r="T57" t="n">
        <v>0</v>
      </c>
      <c r="U57" t="n">
        <v>19.0779</v>
      </c>
      <c r="V57" t="n">
        <v>19</v>
      </c>
      <c r="W57" t="n">
        <v>0.783473</v>
      </c>
      <c r="X57" t="n">
        <v>803</v>
      </c>
      <c r="Y57" t="n">
        <v>0</v>
      </c>
      <c r="Z57" t="n">
        <v>0</v>
      </c>
    </row>
    <row r="58">
      <c r="A58" t="inlineStr">
        <is>
          <t>M1</t>
        </is>
      </c>
      <c r="B58" t="inlineStr">
        <is>
          <t>E2</t>
        </is>
      </c>
      <c r="C58" t="n">
        <v>5</v>
      </c>
      <c r="D58" t="inlineStr">
        <is>
          <t>2026-05-03 08:33:26</t>
        </is>
      </c>
      <c r="E58" t="n">
        <v>115.1264</v>
      </c>
      <c r="F58" t="n">
        <v>94.15561599999999</v>
      </c>
      <c r="G58" t="n">
        <v>0.7708</v>
      </c>
      <c r="H58" t="n">
        <v>5.419947</v>
      </c>
      <c r="I58" t="n">
        <v>2.4496</v>
      </c>
      <c r="J58" t="n">
        <v>0.8752</v>
      </c>
      <c r="K58" t="n">
        <v>10.56985</v>
      </c>
      <c r="L58" t="n">
        <v>0.81863</v>
      </c>
      <c r="M58" t="n">
        <v>1</v>
      </c>
      <c r="N58" t="n">
        <v>1</v>
      </c>
      <c r="O58" t="n">
        <v>0.366597</v>
      </c>
      <c r="P58" t="n">
        <v>3.9872</v>
      </c>
      <c r="Q58" t="n">
        <v>0.788155</v>
      </c>
      <c r="R58" t="n">
        <v>64.8685</v>
      </c>
      <c r="S58" t="n">
        <v>16.0831</v>
      </c>
      <c r="T58" t="n">
        <v>0</v>
      </c>
      <c r="U58" t="n">
        <v>16.5815</v>
      </c>
      <c r="V58" t="n">
        <v>6</v>
      </c>
      <c r="W58" t="n">
        <v>0.817846</v>
      </c>
      <c r="X58" t="n">
        <v>745</v>
      </c>
      <c r="Y58" t="n">
        <v>0</v>
      </c>
      <c r="Z58" t="n">
        <v>0</v>
      </c>
    </row>
    <row r="59">
      <c r="A59" t="inlineStr">
        <is>
          <t>M1</t>
        </is>
      </c>
      <c r="B59" t="inlineStr">
        <is>
          <t>E2</t>
        </is>
      </c>
      <c r="C59" t="n">
        <v>6</v>
      </c>
      <c r="D59" t="inlineStr">
        <is>
          <t>2026-05-03 08:37:35</t>
        </is>
      </c>
      <c r="E59" t="n">
        <v>117.2297</v>
      </c>
      <c r="F59" t="n">
        <v>94.184011</v>
      </c>
      <c r="G59" t="n">
        <v>0.7699</v>
      </c>
      <c r="H59" t="n">
        <v>5.751953</v>
      </c>
      <c r="I59" t="n">
        <v>1.5536</v>
      </c>
      <c r="J59" t="n">
        <v>0.8869050000000001</v>
      </c>
      <c r="K59" t="n">
        <v>10.649875</v>
      </c>
      <c r="L59" t="n">
        <v>0.805454</v>
      </c>
      <c r="M59" t="n">
        <v>1</v>
      </c>
      <c r="N59" t="n">
        <v>1</v>
      </c>
      <c r="O59" t="n">
        <v>0.378831</v>
      </c>
      <c r="P59" t="n">
        <v>4.0413</v>
      </c>
      <c r="Q59" t="n">
        <v>0.76732</v>
      </c>
      <c r="R59" t="n">
        <v>63.9286</v>
      </c>
      <c r="S59" t="n">
        <v>19.0303</v>
      </c>
      <c r="T59" t="n">
        <v>0</v>
      </c>
      <c r="U59" t="n">
        <v>19.2871</v>
      </c>
      <c r="V59" t="n">
        <v>3</v>
      </c>
      <c r="W59" t="n">
        <v>0.803414</v>
      </c>
      <c r="X59" t="n">
        <v>771</v>
      </c>
      <c r="Y59" t="n">
        <v>0</v>
      </c>
      <c r="Z59" t="n">
        <v>0</v>
      </c>
    </row>
    <row r="60">
      <c r="A60" t="inlineStr">
        <is>
          <t>M1</t>
        </is>
      </c>
      <c r="B60" t="inlineStr">
        <is>
          <t>E2</t>
        </is>
      </c>
      <c r="C60" t="n">
        <v>7</v>
      </c>
      <c r="D60" t="inlineStr">
        <is>
          <t>2026-05-03 08:40:14</t>
        </is>
      </c>
      <c r="E60" t="n">
        <v>109.1497</v>
      </c>
      <c r="F60" t="n">
        <v>94.07782899999999</v>
      </c>
      <c r="G60" t="n">
        <v>0.8495</v>
      </c>
      <c r="H60" t="n">
        <v>6.311184</v>
      </c>
      <c r="I60" t="n">
        <v>2.8485</v>
      </c>
      <c r="J60" t="n">
        <v>0.88585</v>
      </c>
      <c r="K60" t="n">
        <v>10.208225</v>
      </c>
      <c r="L60" t="n">
        <v>0.86365</v>
      </c>
      <c r="M60" t="n">
        <v>1</v>
      </c>
      <c r="N60" t="n">
        <v>1</v>
      </c>
      <c r="O60" t="n">
        <v>0.335067</v>
      </c>
      <c r="P60" t="n">
        <v>4.1689</v>
      </c>
      <c r="Q60" t="n">
        <v>0.477298</v>
      </c>
      <c r="R60" t="n">
        <v>55.9823</v>
      </c>
      <c r="S60" t="n">
        <v>13.6776</v>
      </c>
      <c r="T60" t="n">
        <v>0</v>
      </c>
      <c r="U60" t="n">
        <v>13.6543</v>
      </c>
      <c r="V60" t="n">
        <v>3</v>
      </c>
      <c r="W60" t="n">
        <v>0.861916</v>
      </c>
      <c r="X60" t="n">
        <v>715</v>
      </c>
      <c r="Y60" t="n">
        <v>0</v>
      </c>
      <c r="Z60" t="n">
        <v>0</v>
      </c>
    </row>
    <row r="61">
      <c r="A61" t="inlineStr">
        <is>
          <t>M1</t>
        </is>
      </c>
      <c r="B61" t="inlineStr">
        <is>
          <t>E2</t>
        </is>
      </c>
      <c r="C61" t="n">
        <v>8</v>
      </c>
      <c r="D61" t="inlineStr">
        <is>
          <t>2026-05-03 08:43:28</t>
        </is>
      </c>
      <c r="E61" t="n">
        <v>112.0209</v>
      </c>
      <c r="F61" t="n">
        <v>93.537739</v>
      </c>
      <c r="G61" t="n">
        <v>0.761</v>
      </c>
      <c r="H61" t="n">
        <v>5.956308</v>
      </c>
      <c r="I61" t="n">
        <v>2.9005</v>
      </c>
      <c r="J61" t="n">
        <v>0.89508</v>
      </c>
      <c r="K61" t="n">
        <v>10.332375</v>
      </c>
      <c r="L61" t="n">
        <v>0.838273</v>
      </c>
      <c r="M61" t="n">
        <v>1</v>
      </c>
      <c r="N61" t="n">
        <v>2.4503</v>
      </c>
      <c r="O61" t="n">
        <v>0.368003</v>
      </c>
      <c r="P61" t="n">
        <v>17.71</v>
      </c>
      <c r="Q61" t="n">
        <v>0.887598</v>
      </c>
      <c r="R61" t="n">
        <v>61.108</v>
      </c>
      <c r="S61" t="n">
        <v>16.5115</v>
      </c>
      <c r="T61" t="n">
        <v>0</v>
      </c>
      <c r="U61" t="n">
        <v>16.8957</v>
      </c>
      <c r="V61" t="n">
        <v>4</v>
      </c>
      <c r="W61" t="n">
        <v>0.8350030000000001</v>
      </c>
      <c r="X61" t="n">
        <v>741</v>
      </c>
      <c r="Y61" t="n">
        <v>0</v>
      </c>
      <c r="Z61" t="n">
        <v>0</v>
      </c>
    </row>
    <row r="62">
      <c r="A62" t="inlineStr">
        <is>
          <t>M1</t>
        </is>
      </c>
      <c r="B62" t="inlineStr">
        <is>
          <t>E2</t>
        </is>
      </c>
      <c r="C62" t="n">
        <v>9</v>
      </c>
      <c r="D62" t="inlineStr">
        <is>
          <t>2026-05-03 08:46:25</t>
        </is>
      </c>
      <c r="E62" t="n">
        <v>134.9137</v>
      </c>
      <c r="F62" t="n">
        <v>93.408315</v>
      </c>
      <c r="G62" t="n">
        <v>0.7859</v>
      </c>
      <c r="H62" t="n">
        <v>3.744371</v>
      </c>
      <c r="I62" t="n">
        <v>1.4068</v>
      </c>
      <c r="J62" t="n">
        <v>0.90059</v>
      </c>
      <c r="K62" t="n">
        <v>4.286425</v>
      </c>
      <c r="L62" t="n">
        <v>0.69484</v>
      </c>
      <c r="M62" t="n">
        <v>0.984</v>
      </c>
      <c r="N62" t="n">
        <v>2.3077</v>
      </c>
      <c r="O62" t="n">
        <v>0.41216</v>
      </c>
      <c r="P62" t="n">
        <v>15.0033</v>
      </c>
      <c r="Q62" t="n">
        <v>1.59711</v>
      </c>
      <c r="R62" t="n">
        <v>94.2188</v>
      </c>
      <c r="S62" t="n">
        <v>16.4107</v>
      </c>
      <c r="T62" t="n">
        <v>0</v>
      </c>
      <c r="U62" t="n">
        <v>24.3608</v>
      </c>
      <c r="V62" t="n">
        <v>55</v>
      </c>
      <c r="W62" t="n">
        <v>0.692356</v>
      </c>
      <c r="X62" t="n">
        <v>873</v>
      </c>
      <c r="Y62" t="n">
        <v>0</v>
      </c>
      <c r="Z62" t="n">
        <v>0</v>
      </c>
    </row>
    <row r="63">
      <c r="A63" t="inlineStr">
        <is>
          <t>M1</t>
        </is>
      </c>
      <c r="B63" t="inlineStr">
        <is>
          <t>E2</t>
        </is>
      </c>
      <c r="C63" t="n">
        <v>10</v>
      </c>
      <c r="D63" t="inlineStr">
        <is>
          <t>2026-05-03 08:48:45</t>
        </is>
      </c>
      <c r="E63" t="n">
        <v>106.5814</v>
      </c>
      <c r="F63" t="n">
        <v>93.470618</v>
      </c>
      <c r="G63" t="n">
        <v>0.7542</v>
      </c>
      <c r="H63" t="n">
        <v>5.551743</v>
      </c>
      <c r="I63" t="n">
        <v>5.0693</v>
      </c>
      <c r="J63" t="n">
        <v>0.884995</v>
      </c>
      <c r="K63" t="n">
        <v>4.887325</v>
      </c>
      <c r="L63" t="n">
        <v>0.878075</v>
      </c>
      <c r="M63" t="n">
        <v>1</v>
      </c>
      <c r="N63" t="n">
        <v>1.4985</v>
      </c>
      <c r="O63" t="n">
        <v>0.323478</v>
      </c>
      <c r="P63" t="n">
        <v>8.0932</v>
      </c>
      <c r="Q63" t="n">
        <v>0.501923</v>
      </c>
      <c r="R63" t="n">
        <v>34.5981</v>
      </c>
      <c r="S63" t="n">
        <v>12.2312</v>
      </c>
      <c r="T63" t="n">
        <v>0</v>
      </c>
      <c r="U63" t="n">
        <v>12.0984</v>
      </c>
      <c r="V63" t="n">
        <v>2</v>
      </c>
      <c r="W63" t="n">
        <v>0.876988</v>
      </c>
      <c r="X63" t="n">
        <v>689</v>
      </c>
      <c r="Y63" t="n">
        <v>0</v>
      </c>
      <c r="Z63" t="n">
        <v>0</v>
      </c>
    </row>
    <row r="64">
      <c r="A64" t="inlineStr">
        <is>
          <t>M1</t>
        </is>
      </c>
      <c r="B64" t="inlineStr">
        <is>
          <t>E3</t>
        </is>
      </c>
      <c r="C64" t="n">
        <v>1</v>
      </c>
      <c r="D64" t="inlineStr">
        <is>
          <t>2026-05-03 14:46:19</t>
        </is>
      </c>
      <c r="E64" t="n">
        <v>162.1688</v>
      </c>
      <c r="F64" t="n">
        <v>36.885631</v>
      </c>
      <c r="G64" t="n">
        <v>1.0103</v>
      </c>
      <c r="H64" t="n">
        <v>1.263505</v>
      </c>
      <c r="I64" t="n">
        <v>1.213</v>
      </c>
      <c r="J64" t="n">
        <v>1.03623</v>
      </c>
      <c r="K64" t="n">
        <v>0.163775</v>
      </c>
      <c r="L64" t="n">
        <v>0.233392</v>
      </c>
      <c r="M64" t="n">
        <v>0</v>
      </c>
      <c r="N64" t="n">
        <v>1.8961</v>
      </c>
      <c r="O64" t="n">
        <v>0.376203</v>
      </c>
      <c r="P64" t="n">
        <v>8.972799999999999</v>
      </c>
      <c r="Q64" t="n">
        <v>1.403461</v>
      </c>
      <c r="R64" t="n">
        <v>162.1688</v>
      </c>
      <c r="S64" t="n">
        <v>76.7971</v>
      </c>
      <c r="T64" t="n">
        <v>0</v>
      </c>
      <c r="U64" t="n">
        <v>107.6006</v>
      </c>
      <c r="V64" t="n">
        <v>56</v>
      </c>
      <c r="W64" t="n">
        <v>0.227452</v>
      </c>
      <c r="X64" t="n">
        <v>1023</v>
      </c>
      <c r="Y64" t="n">
        <v>0</v>
      </c>
      <c r="Z64" t="n">
        <v>0</v>
      </c>
    </row>
    <row r="65">
      <c r="A65" t="inlineStr">
        <is>
          <t>M1</t>
        </is>
      </c>
      <c r="B65" t="inlineStr">
        <is>
          <t>E3</t>
        </is>
      </c>
      <c r="C65" t="n">
        <v>2</v>
      </c>
      <c r="D65" t="inlineStr">
        <is>
          <t>2026-05-03 14:49:02</t>
        </is>
      </c>
      <c r="E65" t="n">
        <v>127.7169</v>
      </c>
      <c r="F65" t="n">
        <v>93.36180400000001</v>
      </c>
      <c r="G65" t="n">
        <v>0.7876</v>
      </c>
      <c r="H65" t="n">
        <v>5.134925</v>
      </c>
      <c r="I65" t="n">
        <v>1.7774</v>
      </c>
      <c r="J65" t="n">
        <v>0.87065</v>
      </c>
      <c r="K65" t="n">
        <v>10.6958</v>
      </c>
      <c r="L65" t="n">
        <v>0.738289</v>
      </c>
      <c r="M65" t="n">
        <v>1</v>
      </c>
      <c r="N65" t="n">
        <v>2.3176</v>
      </c>
      <c r="O65" t="n">
        <v>0.428249</v>
      </c>
      <c r="P65" t="n">
        <v>15.2863</v>
      </c>
      <c r="Q65" t="n">
        <v>1.005529</v>
      </c>
      <c r="R65" t="n">
        <v>76.9426</v>
      </c>
      <c r="S65" t="n">
        <v>28.8681</v>
      </c>
      <c r="T65" t="n">
        <v>0</v>
      </c>
      <c r="U65" t="n">
        <v>29.658</v>
      </c>
      <c r="V65" t="n">
        <v>7</v>
      </c>
      <c r="W65" t="n">
        <v>0.731006</v>
      </c>
      <c r="X65" t="n">
        <v>864</v>
      </c>
      <c r="Y65" t="n">
        <v>0</v>
      </c>
      <c r="Z65" t="n">
        <v>0</v>
      </c>
    </row>
    <row r="66">
      <c r="A66" t="inlineStr">
        <is>
          <t>M1</t>
        </is>
      </c>
      <c r="B66" t="inlineStr">
        <is>
          <t>E3</t>
        </is>
      </c>
      <c r="C66" t="n">
        <v>3</v>
      </c>
      <c r="D66" t="inlineStr">
        <is>
          <t>2026-05-03 14:50:59</t>
        </is>
      </c>
      <c r="E66" t="n">
        <v>78.84869999999999</v>
      </c>
      <c r="F66" t="n">
        <v>38.18307</v>
      </c>
      <c r="G66" t="n">
        <v>0.8653</v>
      </c>
      <c r="H66" t="n">
        <v>1.823548</v>
      </c>
      <c r="I66" t="n">
        <v>1.2944</v>
      </c>
      <c r="J66" t="n">
        <v>0.8888</v>
      </c>
      <c r="K66" t="n">
        <v>1.5676</v>
      </c>
      <c r="L66" t="n">
        <v>0.493909</v>
      </c>
      <c r="M66" t="n">
        <v>0.3949</v>
      </c>
      <c r="N66" t="n">
        <v>1.8021</v>
      </c>
      <c r="O66" t="n">
        <v>0.49748</v>
      </c>
      <c r="P66" t="n">
        <v>11.6584</v>
      </c>
      <c r="Q66" t="n">
        <v>0.775518</v>
      </c>
      <c r="R66" t="n">
        <v>78.84869999999999</v>
      </c>
      <c r="S66" t="n">
        <v>27.815</v>
      </c>
      <c r="T66" t="n">
        <v>0</v>
      </c>
      <c r="U66" t="n">
        <v>39.0523</v>
      </c>
      <c r="V66" t="n">
        <v>5</v>
      </c>
      <c r="W66" t="n">
        <v>0.484257</v>
      </c>
      <c r="X66" t="n">
        <v>491</v>
      </c>
      <c r="Y66" t="n">
        <v>0</v>
      </c>
      <c r="Z66" t="n">
        <v>0</v>
      </c>
    </row>
    <row r="67">
      <c r="A67" t="inlineStr">
        <is>
          <t>M1</t>
        </is>
      </c>
      <c r="B67" t="inlineStr">
        <is>
          <t>E3</t>
        </is>
      </c>
      <c r="C67" t="n">
        <v>4</v>
      </c>
      <c r="D67" t="inlineStr">
        <is>
          <t>2026-05-03 14:53:24</t>
        </is>
      </c>
      <c r="E67" t="n">
        <v>110.9932</v>
      </c>
      <c r="F67" t="n">
        <v>93.519901</v>
      </c>
      <c r="G67" t="n">
        <v>0.8361</v>
      </c>
      <c r="H67" t="n">
        <v>6.021435</v>
      </c>
      <c r="I67" t="n">
        <v>2.6959</v>
      </c>
      <c r="J67" t="n">
        <v>0.90096</v>
      </c>
      <c r="K67" t="n">
        <v>9.33135</v>
      </c>
      <c r="L67" t="n">
        <v>0.847318</v>
      </c>
      <c r="M67" t="n">
        <v>1</v>
      </c>
      <c r="N67" t="n">
        <v>2.4192</v>
      </c>
      <c r="O67" t="n">
        <v>0.359036</v>
      </c>
      <c r="P67" t="n">
        <v>16.7086</v>
      </c>
      <c r="Q67" t="n">
        <v>0.837771</v>
      </c>
      <c r="R67" t="n">
        <v>60.9795</v>
      </c>
      <c r="S67" t="n">
        <v>14.3669</v>
      </c>
      <c r="T67" t="n">
        <v>0</v>
      </c>
      <c r="U67" t="n">
        <v>15.905</v>
      </c>
      <c r="V67" t="n">
        <v>4</v>
      </c>
      <c r="W67" t="n">
        <v>0.842573</v>
      </c>
      <c r="X67" t="n">
        <v>761</v>
      </c>
      <c r="Y67" t="n">
        <v>0</v>
      </c>
      <c r="Z67" t="n">
        <v>0</v>
      </c>
    </row>
    <row r="68">
      <c r="A68" t="inlineStr">
        <is>
          <t>M1</t>
        </is>
      </c>
      <c r="B68" t="inlineStr">
        <is>
          <t>E3</t>
        </is>
      </c>
      <c r="C68" t="n">
        <v>5</v>
      </c>
      <c r="D68" t="inlineStr">
        <is>
          <t>2026-05-03 15:01:50</t>
        </is>
      </c>
      <c r="E68" t="n">
        <v>117.7172</v>
      </c>
      <c r="F68" t="n">
        <v>93.371303</v>
      </c>
      <c r="G68" t="n">
        <v>0.6929999999999999</v>
      </c>
      <c r="H68" t="n">
        <v>5.386491</v>
      </c>
      <c r="I68" t="n">
        <v>2.3208</v>
      </c>
      <c r="J68" t="n">
        <v>0.889505</v>
      </c>
      <c r="K68" t="n">
        <v>10.64075</v>
      </c>
      <c r="L68" t="n">
        <v>0.7991200000000001</v>
      </c>
      <c r="M68" t="n">
        <v>1</v>
      </c>
      <c r="N68" t="n">
        <v>2.0971</v>
      </c>
      <c r="O68" t="n">
        <v>0.386237</v>
      </c>
      <c r="P68" t="n">
        <v>12.0125</v>
      </c>
      <c r="Q68" t="n">
        <v>0.946662</v>
      </c>
      <c r="R68" t="n">
        <v>69.2453</v>
      </c>
      <c r="S68" t="n">
        <v>20.0303</v>
      </c>
      <c r="T68" t="n">
        <v>0</v>
      </c>
      <c r="U68" t="n">
        <v>19.4488</v>
      </c>
      <c r="V68" t="n">
        <v>6</v>
      </c>
      <c r="W68" t="n">
        <v>0.793183</v>
      </c>
      <c r="X68" t="n">
        <v>771</v>
      </c>
      <c r="Y68" t="n">
        <v>0</v>
      </c>
      <c r="Z68" t="n">
        <v>0</v>
      </c>
    </row>
    <row r="69">
      <c r="A69" t="inlineStr">
        <is>
          <t>M1</t>
        </is>
      </c>
      <c r="B69" t="inlineStr">
        <is>
          <t>E3</t>
        </is>
      </c>
      <c r="C69" t="n">
        <v>6</v>
      </c>
      <c r="D69" t="inlineStr">
        <is>
          <t>2026-05-03 15:22:38</t>
        </is>
      </c>
      <c r="E69" t="n">
        <v>66.0539</v>
      </c>
      <c r="F69" t="n">
        <v>38.332375</v>
      </c>
      <c r="G69" t="n">
        <v>0.8542</v>
      </c>
      <c r="H69" t="n">
        <v>1.932819</v>
      </c>
      <c r="I69" t="n">
        <v>2.6885</v>
      </c>
      <c r="J69" t="n">
        <v>0.86038</v>
      </c>
      <c r="K69" t="n">
        <v>1.8114</v>
      </c>
      <c r="L69" t="n">
        <v>0.583456</v>
      </c>
      <c r="M69" t="n">
        <v>1</v>
      </c>
      <c r="N69" t="n">
        <v>1.9907</v>
      </c>
      <c r="O69" t="n">
        <v>0.498154</v>
      </c>
      <c r="P69" t="n">
        <v>13.7605</v>
      </c>
      <c r="Q69" t="n">
        <v>0.801945</v>
      </c>
      <c r="R69" t="n">
        <v>66.0539</v>
      </c>
      <c r="S69" t="n">
        <v>27.7792</v>
      </c>
      <c r="T69" t="n">
        <v>0</v>
      </c>
      <c r="U69" t="n">
        <v>27.3463</v>
      </c>
      <c r="V69" t="n">
        <v>1</v>
      </c>
      <c r="W69" t="n">
        <v>0.5803199999999999</v>
      </c>
      <c r="X69" t="n">
        <v>418</v>
      </c>
      <c r="Y69" t="n">
        <v>0</v>
      </c>
      <c r="Z69" t="n">
        <v>0</v>
      </c>
    </row>
    <row r="70">
      <c r="A70" t="inlineStr">
        <is>
          <t>M1</t>
        </is>
      </c>
      <c r="B70" t="inlineStr">
        <is>
          <t>E3</t>
        </is>
      </c>
      <c r="C70" t="n">
        <v>7</v>
      </c>
      <c r="D70" t="inlineStr">
        <is>
          <t>2026-05-03 15:24:48</t>
        </is>
      </c>
      <c r="E70" t="n">
        <v>110.9074</v>
      </c>
      <c r="F70" t="n">
        <v>93.410499</v>
      </c>
      <c r="G70" t="n">
        <v>0.7204</v>
      </c>
      <c r="H70" t="n">
        <v>6.43645</v>
      </c>
      <c r="I70" t="n">
        <v>2.6986</v>
      </c>
      <c r="J70" t="n">
        <v>0.900985</v>
      </c>
      <c r="K70" t="n">
        <v>9.349399999999999</v>
      </c>
      <c r="L70" t="n">
        <v>0.850346</v>
      </c>
      <c r="M70" t="n">
        <v>1</v>
      </c>
      <c r="N70" t="n">
        <v>2.1799</v>
      </c>
      <c r="O70" t="n">
        <v>0.356105</v>
      </c>
      <c r="P70" t="n">
        <v>12.9231</v>
      </c>
      <c r="Q70" t="n">
        <v>0.689768</v>
      </c>
      <c r="R70" t="n">
        <v>58.0379</v>
      </c>
      <c r="S70" t="n">
        <v>16.1271</v>
      </c>
      <c r="T70" t="n">
        <v>0</v>
      </c>
      <c r="U70" t="n">
        <v>16.1969</v>
      </c>
      <c r="V70" t="n">
        <v>3</v>
      </c>
      <c r="W70" t="n">
        <v>0.842239</v>
      </c>
      <c r="X70" t="n">
        <v>709</v>
      </c>
      <c r="Y70" t="n">
        <v>0</v>
      </c>
      <c r="Z70" t="n">
        <v>0</v>
      </c>
    </row>
    <row r="71">
      <c r="A71" t="inlineStr">
        <is>
          <t>M1</t>
        </is>
      </c>
      <c r="B71" t="inlineStr">
        <is>
          <t>E3</t>
        </is>
      </c>
      <c r="C71" t="n">
        <v>8</v>
      </c>
      <c r="D71" t="inlineStr">
        <is>
          <t>2026-05-03 15:28:42</t>
        </is>
      </c>
      <c r="E71" t="n">
        <v>101.5993</v>
      </c>
      <c r="F71" t="n">
        <v>38.054866</v>
      </c>
      <c r="G71" t="n">
        <v>0.854</v>
      </c>
      <c r="H71" t="n">
        <v>1.496213</v>
      </c>
      <c r="I71" t="n">
        <v>1.2227</v>
      </c>
      <c r="J71" t="n">
        <v>0.855</v>
      </c>
      <c r="K71" t="n">
        <v>0.33965</v>
      </c>
      <c r="L71" t="n">
        <v>0.384897</v>
      </c>
      <c r="M71" t="n">
        <v>0</v>
      </c>
      <c r="N71" t="n">
        <v>3.17</v>
      </c>
      <c r="O71" t="n">
        <v>0.479001</v>
      </c>
      <c r="P71" t="n">
        <v>30.9849</v>
      </c>
      <c r="Q71" t="n">
        <v>1.544579</v>
      </c>
      <c r="R71" t="n">
        <v>96.2</v>
      </c>
      <c r="S71" t="n">
        <v>48.5713</v>
      </c>
      <c r="T71" t="n">
        <v>0</v>
      </c>
      <c r="U71" t="n">
        <v>57.5981</v>
      </c>
      <c r="V71" t="n">
        <v>6</v>
      </c>
      <c r="W71" t="n">
        <v>0.374558</v>
      </c>
      <c r="X71" t="n">
        <v>656</v>
      </c>
      <c r="Y71" t="n">
        <v>0</v>
      </c>
      <c r="Z71" t="n">
        <v>0</v>
      </c>
    </row>
    <row r="72">
      <c r="A72" t="inlineStr">
        <is>
          <t>M1</t>
        </is>
      </c>
      <c r="B72" t="inlineStr">
        <is>
          <t>E3</t>
        </is>
      </c>
      <c r="C72" t="n">
        <v>9</v>
      </c>
      <c r="D72" t="inlineStr">
        <is>
          <t>2026-05-03 15:30:49</t>
        </is>
      </c>
      <c r="E72" t="n">
        <v>79.3719</v>
      </c>
      <c r="F72" t="n">
        <v>37.749157</v>
      </c>
      <c r="G72" t="n">
        <v>0.8707</v>
      </c>
      <c r="H72" t="n">
        <v>1.566549</v>
      </c>
      <c r="I72" t="n">
        <v>1.3068</v>
      </c>
      <c r="J72" t="n">
        <v>0.8707</v>
      </c>
      <c r="K72" t="n">
        <v>0.58595</v>
      </c>
      <c r="L72" t="n">
        <v>0.496624</v>
      </c>
      <c r="M72" t="n">
        <v>0.5071</v>
      </c>
      <c r="N72" t="n">
        <v>2.4115</v>
      </c>
      <c r="O72" t="n">
        <v>0.484154</v>
      </c>
      <c r="P72" t="n">
        <v>16.4193</v>
      </c>
      <c r="Q72" t="n">
        <v>1.334338</v>
      </c>
      <c r="R72" t="n">
        <v>73.5746</v>
      </c>
      <c r="S72" t="n">
        <v>36.0118</v>
      </c>
      <c r="T72" t="n">
        <v>0</v>
      </c>
      <c r="U72" t="n">
        <v>36.2832</v>
      </c>
      <c r="V72" t="n">
        <v>4</v>
      </c>
      <c r="W72" t="n">
        <v>0.475599</v>
      </c>
      <c r="X72" t="n">
        <v>537</v>
      </c>
      <c r="Y72" t="n">
        <v>0</v>
      </c>
      <c r="Z72" t="n">
        <v>0</v>
      </c>
    </row>
    <row r="73">
      <c r="A73" t="inlineStr">
        <is>
          <t>M1</t>
        </is>
      </c>
      <c r="B73" t="inlineStr">
        <is>
          <t>E3</t>
        </is>
      </c>
      <c r="C73" t="n">
        <v>10</v>
      </c>
      <c r="D73" t="inlineStr">
        <is>
          <t>2026-05-03 15:33:41</t>
        </is>
      </c>
      <c r="E73" t="n">
        <v>130.1766</v>
      </c>
      <c r="F73" t="n">
        <v>93.555401</v>
      </c>
      <c r="G73" t="n">
        <v>0.8323</v>
      </c>
      <c r="H73" t="n">
        <v>4.972407</v>
      </c>
      <c r="I73" t="n">
        <v>1.48525</v>
      </c>
      <c r="J73" t="n">
        <v>0.88425</v>
      </c>
      <c r="K73" t="n">
        <v>9.3775</v>
      </c>
      <c r="L73" t="n">
        <v>0.722424</v>
      </c>
      <c r="M73" t="n">
        <v>0.9998</v>
      </c>
      <c r="N73" t="n">
        <v>1.9856</v>
      </c>
      <c r="O73" t="n">
        <v>0.415821</v>
      </c>
      <c r="P73" t="n">
        <v>11.4293</v>
      </c>
      <c r="Q73" t="n">
        <v>1.326293</v>
      </c>
      <c r="R73" t="n">
        <v>77.2649</v>
      </c>
      <c r="S73" t="n">
        <v>21.4647</v>
      </c>
      <c r="T73" t="n">
        <v>0</v>
      </c>
      <c r="U73" t="n">
        <v>26.0553</v>
      </c>
      <c r="V73" t="n">
        <v>33</v>
      </c>
      <c r="W73" t="n">
        <v>0.718681</v>
      </c>
      <c r="X73" t="n">
        <v>880</v>
      </c>
      <c r="Y73" t="n">
        <v>0</v>
      </c>
      <c r="Z73" t="n">
        <v>0</v>
      </c>
    </row>
    <row r="74">
      <c r="A74" t="inlineStr">
        <is>
          <t>M1</t>
        </is>
      </c>
      <c r="B74" t="inlineStr">
        <is>
          <t>E4</t>
        </is>
      </c>
      <c r="C74" t="n">
        <v>1</v>
      </c>
      <c r="D74" t="inlineStr">
        <is>
          <t>2026-05-03 17:17:51</t>
        </is>
      </c>
      <c r="E74" t="n">
        <v>50.2186</v>
      </c>
      <c r="F74" t="n">
        <v>32.722002</v>
      </c>
      <c r="G74" t="n">
        <v>0.781</v>
      </c>
      <c r="H74" t="n">
        <v>6.887242</v>
      </c>
      <c r="I74" t="n">
        <v>8.118600000000001</v>
      </c>
      <c r="J74" t="n">
        <v>0.86756</v>
      </c>
      <c r="K74" t="n">
        <v>10.8787</v>
      </c>
      <c r="L74" t="n">
        <v>0.666898</v>
      </c>
      <c r="M74" t="n">
        <v>1</v>
      </c>
      <c r="N74" t="n">
        <v>2.2329</v>
      </c>
      <c r="O74" t="n">
        <v>0.479736</v>
      </c>
      <c r="P74" t="n">
        <v>14.3516</v>
      </c>
      <c r="Q74" t="n">
        <v>0.990298</v>
      </c>
      <c r="R74" t="n">
        <v>20.7157</v>
      </c>
      <c r="S74" t="n">
        <v>17.3746</v>
      </c>
      <c r="T74" t="n">
        <v>0</v>
      </c>
      <c r="U74" t="n">
        <v>16.6699</v>
      </c>
      <c r="V74" t="n">
        <v>2</v>
      </c>
      <c r="W74" t="n">
        <v>0.651591</v>
      </c>
      <c r="X74" t="n">
        <v>288</v>
      </c>
      <c r="Y74" t="n">
        <v>0</v>
      </c>
      <c r="Z74" t="n">
        <v>0</v>
      </c>
    </row>
    <row r="75">
      <c r="A75" t="inlineStr">
        <is>
          <t>M1</t>
        </is>
      </c>
      <c r="B75" t="inlineStr">
        <is>
          <t>E4</t>
        </is>
      </c>
      <c r="C75" t="n">
        <v>10</v>
      </c>
      <c r="D75" t="inlineStr">
        <is>
          <t>2026-05-03 17:14:23</t>
        </is>
      </c>
      <c r="E75" t="n">
        <v>74.309</v>
      </c>
      <c r="F75" t="n">
        <v>32.926309</v>
      </c>
      <c r="G75" t="n">
        <v>0.8179</v>
      </c>
      <c r="H75" t="n">
        <v>1.783007</v>
      </c>
      <c r="I75" t="n">
        <v>1.1049</v>
      </c>
      <c r="J75" t="n">
        <v>0.8728050000000001</v>
      </c>
      <c r="K75" t="n">
        <v>2.0643</v>
      </c>
      <c r="L75" t="n">
        <v>0.446801</v>
      </c>
      <c r="M75" t="n">
        <v>0</v>
      </c>
      <c r="N75" t="n">
        <v>1.9385</v>
      </c>
      <c r="O75" t="n">
        <v>0.500526</v>
      </c>
      <c r="P75" t="n">
        <v>15.5836</v>
      </c>
      <c r="Q75" t="n">
        <v>0.840638</v>
      </c>
      <c r="R75" t="n">
        <v>74.309</v>
      </c>
      <c r="S75" t="n">
        <v>41.4316</v>
      </c>
      <c r="T75" t="n">
        <v>0</v>
      </c>
      <c r="U75" t="n">
        <v>40.3965</v>
      </c>
      <c r="V75" t="n">
        <v>2</v>
      </c>
      <c r="W75" t="n">
        <v>0.4431</v>
      </c>
      <c r="X75" t="n">
        <v>411</v>
      </c>
      <c r="Y75" t="n">
        <v>0</v>
      </c>
      <c r="Z75" t="n">
        <v>0</v>
      </c>
    </row>
    <row r="76">
      <c r="A76" t="inlineStr">
        <is>
          <t>M2</t>
        </is>
      </c>
      <c r="B76" t="inlineStr">
        <is>
          <t>E1</t>
        </is>
      </c>
      <c r="C76" t="n">
        <v>1</v>
      </c>
      <c r="D76" t="inlineStr">
        <is>
          <t>2026-05-02 19:52:32</t>
        </is>
      </c>
      <c r="E76" t="n">
        <v>113.4708</v>
      </c>
      <c r="F76" t="n">
        <v>93.702299</v>
      </c>
      <c r="G76" t="n">
        <v>0.543</v>
      </c>
      <c r="H76" t="n">
        <v>9.160743</v>
      </c>
      <c r="I76" t="n">
        <v>12</v>
      </c>
      <c r="J76" t="n">
        <v>0.89429</v>
      </c>
      <c r="K76" t="n">
        <v>6.26425</v>
      </c>
      <c r="L76" t="n">
        <v>0.8240730000000001</v>
      </c>
      <c r="M76" t="n">
        <v>1</v>
      </c>
      <c r="N76" t="n">
        <v>1.3796</v>
      </c>
      <c r="O76" t="n">
        <v>0.377393</v>
      </c>
      <c r="P76" t="n">
        <v>5.2273</v>
      </c>
      <c r="Q76" t="n">
        <v>0.438535</v>
      </c>
      <c r="R76" t="n">
        <v>22.3922</v>
      </c>
      <c r="S76" t="n">
        <v>10.3457</v>
      </c>
      <c r="T76" t="n">
        <v>0</v>
      </c>
      <c r="U76" t="n">
        <v>18.8204</v>
      </c>
      <c r="V76" t="n">
        <v>2</v>
      </c>
      <c r="W76" t="n">
        <v>0.825783</v>
      </c>
      <c r="X76" t="n">
        <v>393</v>
      </c>
      <c r="Y76" t="n">
        <v>0</v>
      </c>
      <c r="Z76" t="n">
        <v>0</v>
      </c>
    </row>
    <row r="77">
      <c r="A77" t="inlineStr">
        <is>
          <t>M2</t>
        </is>
      </c>
      <c r="B77" t="inlineStr">
        <is>
          <t>E1</t>
        </is>
      </c>
      <c r="C77" t="n">
        <v>2</v>
      </c>
      <c r="D77" t="inlineStr">
        <is>
          <t>2026-05-02 19:50:01</t>
        </is>
      </c>
      <c r="E77" t="n">
        <v>113.543</v>
      </c>
      <c r="F77" t="n">
        <v>93.82560100000001</v>
      </c>
      <c r="G77" t="n">
        <v>0.5461</v>
      </c>
      <c r="H77" t="n">
        <v>9.155206</v>
      </c>
      <c r="I77" t="n">
        <v>12</v>
      </c>
      <c r="J77" t="n">
        <v>0.89353</v>
      </c>
      <c r="K77" t="n">
        <v>6.1876</v>
      </c>
      <c r="L77" t="n">
        <v>0.823665</v>
      </c>
      <c r="M77" t="n">
        <v>1</v>
      </c>
      <c r="N77" t="n">
        <v>1.2373</v>
      </c>
      <c r="O77" t="n">
        <v>0.377598</v>
      </c>
      <c r="P77" t="n">
        <v>5.0535</v>
      </c>
      <c r="Q77" t="n">
        <v>0.440047</v>
      </c>
      <c r="R77" t="n">
        <v>22.0937</v>
      </c>
      <c r="S77" t="n">
        <v>10.5801</v>
      </c>
      <c r="T77" t="n">
        <v>0</v>
      </c>
      <c r="U77" t="n">
        <v>18.8347</v>
      </c>
      <c r="V77" t="n">
        <v>2</v>
      </c>
      <c r="W77" t="n">
        <v>0.826344</v>
      </c>
      <c r="X77" t="n">
        <v>392</v>
      </c>
      <c r="Y77" t="n">
        <v>0</v>
      </c>
      <c r="Z77" t="n">
        <v>0</v>
      </c>
    </row>
    <row r="78">
      <c r="A78" t="inlineStr">
        <is>
          <t>M2</t>
        </is>
      </c>
      <c r="B78" t="inlineStr">
        <is>
          <t>E1</t>
        </is>
      </c>
      <c r="C78" t="n">
        <v>3</v>
      </c>
      <c r="D78" t="inlineStr">
        <is>
          <t>2026-05-02 19:55:14</t>
        </is>
      </c>
      <c r="E78" t="n">
        <v>111.9643</v>
      </c>
      <c r="F78" t="n">
        <v>94.179104</v>
      </c>
      <c r="G78" t="n">
        <v>0.7066</v>
      </c>
      <c r="H78" t="n">
        <v>9.373365</v>
      </c>
      <c r="I78" t="n">
        <v>12</v>
      </c>
      <c r="J78" t="n">
        <v>0.90842</v>
      </c>
      <c r="K78" t="n">
        <v>5.271725</v>
      </c>
      <c r="L78" t="n">
        <v>0.847468</v>
      </c>
      <c r="M78" t="n">
        <v>1</v>
      </c>
      <c r="N78" t="n">
        <v>1.8515</v>
      </c>
      <c r="O78" t="n">
        <v>0.360236</v>
      </c>
      <c r="P78" t="n">
        <v>14.3155</v>
      </c>
      <c r="Q78" t="n">
        <v>0.820176</v>
      </c>
      <c r="R78" t="n">
        <v>20.0598</v>
      </c>
      <c r="S78" t="n">
        <v>8.291600000000001</v>
      </c>
      <c r="T78" t="n">
        <v>0</v>
      </c>
      <c r="U78" t="n">
        <v>16.8517</v>
      </c>
      <c r="V78" t="n">
        <v>2</v>
      </c>
      <c r="W78" t="n">
        <v>0.841153</v>
      </c>
      <c r="X78" t="n">
        <v>377</v>
      </c>
      <c r="Y78" t="n">
        <v>0</v>
      </c>
      <c r="Z78" t="n">
        <v>0</v>
      </c>
    </row>
    <row r="79">
      <c r="A79" t="inlineStr">
        <is>
          <t>M2</t>
        </is>
      </c>
      <c r="B79" t="inlineStr">
        <is>
          <t>E1</t>
        </is>
      </c>
      <c r="C79" t="n">
        <v>4</v>
      </c>
      <c r="D79" t="inlineStr">
        <is>
          <t>2026-05-02 19:57:26</t>
        </is>
      </c>
      <c r="E79" t="n">
        <v>110.7531</v>
      </c>
      <c r="F79" t="n">
        <v>93.43499300000001</v>
      </c>
      <c r="G79" t="n">
        <v>0.7431</v>
      </c>
      <c r="H79" t="n">
        <v>9.379123999999999</v>
      </c>
      <c r="I79" t="n">
        <v>12</v>
      </c>
      <c r="J79" t="n">
        <v>0.9286799999999999</v>
      </c>
      <c r="K79" t="n">
        <v>5.25265</v>
      </c>
      <c r="L79" t="n">
        <v>0.844849</v>
      </c>
      <c r="M79" t="n">
        <v>1</v>
      </c>
      <c r="N79" t="n">
        <v>1.6424</v>
      </c>
      <c r="O79" t="n">
        <v>0.361451</v>
      </c>
      <c r="P79" t="n">
        <v>6.4925</v>
      </c>
      <c r="Q79" t="n">
        <v>0.489461</v>
      </c>
      <c r="R79" t="n">
        <v>19.7595</v>
      </c>
      <c r="S79" t="n">
        <v>7.7526</v>
      </c>
      <c r="T79" t="n">
        <v>0</v>
      </c>
      <c r="U79" t="n">
        <v>16.4581</v>
      </c>
      <c r="V79" t="n">
        <v>2</v>
      </c>
      <c r="W79" t="n">
        <v>0.843633</v>
      </c>
      <c r="X79" t="n">
        <v>377</v>
      </c>
      <c r="Y79" t="n">
        <v>0</v>
      </c>
      <c r="Z79" t="n">
        <v>0</v>
      </c>
    </row>
    <row r="80">
      <c r="A80" t="inlineStr">
        <is>
          <t>M2</t>
        </is>
      </c>
      <c r="B80" t="inlineStr">
        <is>
          <t>E1</t>
        </is>
      </c>
      <c r="C80" t="n">
        <v>5</v>
      </c>
      <c r="D80" t="inlineStr">
        <is>
          <t>2026-05-02 19:59:53</t>
        </is>
      </c>
      <c r="E80" t="n">
        <v>114.256</v>
      </c>
      <c r="F80" t="n">
        <v>94.058502</v>
      </c>
      <c r="G80" t="n">
        <v>0.6674</v>
      </c>
      <c r="H80" t="n">
        <v>9.218277</v>
      </c>
      <c r="I80" t="n">
        <v>12</v>
      </c>
      <c r="J80" t="n">
        <v>0.89605</v>
      </c>
      <c r="K80" t="n">
        <v>5.92955</v>
      </c>
      <c r="L80" t="n">
        <v>0.829561</v>
      </c>
      <c r="M80" t="n">
        <v>1</v>
      </c>
      <c r="N80" t="n">
        <v>1.9258</v>
      </c>
      <c r="O80" t="n">
        <v>0.378121</v>
      </c>
      <c r="P80" t="n">
        <v>13.5722</v>
      </c>
      <c r="Q80" t="n">
        <v>0.7689780000000001</v>
      </c>
      <c r="R80" t="n">
        <v>22.6107</v>
      </c>
      <c r="S80" t="n">
        <v>10.5312</v>
      </c>
      <c r="T80" t="n">
        <v>0</v>
      </c>
      <c r="U80" t="n">
        <v>19.1896</v>
      </c>
      <c r="V80" t="n">
        <v>2</v>
      </c>
      <c r="W80" t="n">
        <v>0.823226</v>
      </c>
      <c r="X80" t="n">
        <v>400</v>
      </c>
      <c r="Y80" t="n">
        <v>0</v>
      </c>
      <c r="Z80" t="n">
        <v>0</v>
      </c>
    </row>
    <row r="81">
      <c r="A81" t="inlineStr">
        <is>
          <t>M2</t>
        </is>
      </c>
      <c r="B81" t="inlineStr">
        <is>
          <t>E1</t>
        </is>
      </c>
      <c r="C81" t="n">
        <v>6</v>
      </c>
      <c r="D81" t="inlineStr">
        <is>
          <t>2026-05-02 20:02:50</t>
        </is>
      </c>
      <c r="E81" t="n">
        <v>113.3238</v>
      </c>
      <c r="F81" t="n">
        <v>93.413293</v>
      </c>
      <c r="G81" t="n">
        <v>0.6478</v>
      </c>
      <c r="H81" t="n">
        <v>9.270262000000001</v>
      </c>
      <c r="I81" t="n">
        <v>12</v>
      </c>
      <c r="J81" t="n">
        <v>0.8962</v>
      </c>
      <c r="K81" t="n">
        <v>5.74765</v>
      </c>
      <c r="L81" t="n">
        <v>0.833592</v>
      </c>
      <c r="M81" t="n">
        <v>1</v>
      </c>
      <c r="N81" t="n">
        <v>1.6558</v>
      </c>
      <c r="O81" t="n">
        <v>0.372024</v>
      </c>
      <c r="P81" t="n">
        <v>5.8844</v>
      </c>
      <c r="Q81" t="n">
        <v>0.466492</v>
      </c>
      <c r="R81" t="n">
        <v>21.9451</v>
      </c>
      <c r="S81" t="n">
        <v>9.9689</v>
      </c>
      <c r="T81" t="n">
        <v>0</v>
      </c>
      <c r="U81" t="n">
        <v>19.0152</v>
      </c>
      <c r="V81" t="n">
        <v>2</v>
      </c>
      <c r="W81" t="n">
        <v>0.824304</v>
      </c>
      <c r="X81" t="n">
        <v>400</v>
      </c>
      <c r="Y81" t="n">
        <v>0</v>
      </c>
      <c r="Z81" t="n">
        <v>0</v>
      </c>
    </row>
    <row r="82">
      <c r="A82" t="inlineStr">
        <is>
          <t>M2</t>
        </is>
      </c>
      <c r="B82" t="inlineStr">
        <is>
          <t>E1</t>
        </is>
      </c>
      <c r="C82" t="n">
        <v>7</v>
      </c>
      <c r="D82" t="inlineStr">
        <is>
          <t>2026-05-02 20:06:21</t>
        </is>
      </c>
      <c r="E82" t="n">
        <v>111.1767</v>
      </c>
      <c r="F82" t="n">
        <v>93.90260000000001</v>
      </c>
      <c r="G82" t="n">
        <v>0.592</v>
      </c>
      <c r="H82" t="n">
        <v>9.424617</v>
      </c>
      <c r="I82" t="n">
        <v>12</v>
      </c>
      <c r="J82" t="n">
        <v>0.94502</v>
      </c>
      <c r="K82" t="n">
        <v>5.1928</v>
      </c>
      <c r="L82" t="n">
        <v>0.850912</v>
      </c>
      <c r="M82" t="n">
        <v>1</v>
      </c>
      <c r="N82" t="n">
        <v>1.6725</v>
      </c>
      <c r="O82" t="n">
        <v>0.355936</v>
      </c>
      <c r="P82" t="n">
        <v>12.3143</v>
      </c>
      <c r="Q82" t="n">
        <v>0.724614</v>
      </c>
      <c r="R82" t="n">
        <v>19.6722</v>
      </c>
      <c r="S82" t="n">
        <v>7.5604</v>
      </c>
      <c r="T82" t="n">
        <v>0</v>
      </c>
      <c r="U82" t="n">
        <v>16.3366</v>
      </c>
      <c r="V82" t="n">
        <v>2</v>
      </c>
      <c r="W82" t="n">
        <v>0.844625</v>
      </c>
      <c r="X82" t="n">
        <v>386</v>
      </c>
      <c r="Y82" t="n">
        <v>0</v>
      </c>
      <c r="Z82" t="n">
        <v>0</v>
      </c>
    </row>
    <row r="83">
      <c r="A83" t="inlineStr">
        <is>
          <t>M2</t>
        </is>
      </c>
      <c r="B83" t="inlineStr">
        <is>
          <t>E1</t>
        </is>
      </c>
      <c r="C83" t="n">
        <v>8</v>
      </c>
      <c r="D83" t="inlineStr">
        <is>
          <t>2026-05-02 20:08:49</t>
        </is>
      </c>
      <c r="E83" t="n">
        <v>108.3932</v>
      </c>
      <c r="F83" t="n">
        <v>93.619998</v>
      </c>
      <c r="G83" t="n">
        <v>0.8626</v>
      </c>
      <c r="H83" t="n">
        <v>9.645210000000001</v>
      </c>
      <c r="I83" t="n">
        <v>12</v>
      </c>
      <c r="J83" t="n">
        <v>1.405035</v>
      </c>
      <c r="K83" t="n">
        <v>4.178825</v>
      </c>
      <c r="L83" t="n">
        <v>0.875849</v>
      </c>
      <c r="M83" t="n">
        <v>1</v>
      </c>
      <c r="N83" t="n">
        <v>2.0341</v>
      </c>
      <c r="O83" t="n">
        <v>0.332698</v>
      </c>
      <c r="P83" t="n">
        <v>11.0031</v>
      </c>
      <c r="Q83" t="n">
        <v>0.6741819999999999</v>
      </c>
      <c r="R83" t="n">
        <v>17.3789</v>
      </c>
      <c r="S83" t="n">
        <v>3.5793</v>
      </c>
      <c r="T83" t="n">
        <v>0</v>
      </c>
      <c r="U83" t="n">
        <v>13.7658</v>
      </c>
      <c r="V83" t="n">
        <v>2</v>
      </c>
      <c r="W83" t="n">
        <v>0.863707</v>
      </c>
      <c r="X83" t="n">
        <v>389</v>
      </c>
      <c r="Y83" t="n">
        <v>0</v>
      </c>
      <c r="Z83" t="n">
        <v>0</v>
      </c>
    </row>
    <row r="84">
      <c r="A84" t="inlineStr">
        <is>
          <t>M2</t>
        </is>
      </c>
      <c r="B84" t="inlineStr">
        <is>
          <t>E1</t>
        </is>
      </c>
      <c r="C84" t="n">
        <v>9</v>
      </c>
      <c r="D84" t="inlineStr">
        <is>
          <t>2026-05-02 20:11:11</t>
        </is>
      </c>
      <c r="E84" t="n">
        <v>109.7841</v>
      </c>
      <c r="F84" t="n">
        <v>93.40309499999999</v>
      </c>
      <c r="G84" t="n">
        <v>0.7766999999999999</v>
      </c>
      <c r="H84" t="n">
        <v>9.474270000000001</v>
      </c>
      <c r="I84" t="n">
        <v>12</v>
      </c>
      <c r="J84" t="n">
        <v>1.056655</v>
      </c>
      <c r="K84" t="n">
        <v>4.9478</v>
      </c>
      <c r="L84" t="n">
        <v>0.855236</v>
      </c>
      <c r="M84" t="n">
        <v>1</v>
      </c>
      <c r="N84" t="n">
        <v>1.1873</v>
      </c>
      <c r="O84" t="n">
        <v>0.34693</v>
      </c>
      <c r="P84" t="n">
        <v>3.562</v>
      </c>
      <c r="Q84" t="n">
        <v>0.393849</v>
      </c>
      <c r="R84" t="n">
        <v>18.5867</v>
      </c>
      <c r="S84" t="n">
        <v>6.7552</v>
      </c>
      <c r="T84" t="n">
        <v>0</v>
      </c>
      <c r="U84" t="n">
        <v>15.4365</v>
      </c>
      <c r="V84" t="n">
        <v>2</v>
      </c>
      <c r="W84" t="n">
        <v>0.850789</v>
      </c>
      <c r="X84" t="n">
        <v>383</v>
      </c>
      <c r="Y84" t="n">
        <v>0</v>
      </c>
      <c r="Z84" t="n">
        <v>0</v>
      </c>
    </row>
    <row r="85">
      <c r="A85" t="inlineStr">
        <is>
          <t>M2</t>
        </is>
      </c>
      <c r="B85" t="inlineStr">
        <is>
          <t>E1</t>
        </is>
      </c>
      <c r="C85" t="n">
        <v>10</v>
      </c>
      <c r="D85" t="inlineStr">
        <is>
          <t>2026-05-02 19:46:58</t>
        </is>
      </c>
      <c r="E85" t="n">
        <v>115.8491</v>
      </c>
      <c r="F85" t="n">
        <v>93.570699</v>
      </c>
      <c r="G85" t="n">
        <v>0.608</v>
      </c>
      <c r="H85" t="n">
        <v>9.299073</v>
      </c>
      <c r="I85" t="n">
        <v>12</v>
      </c>
      <c r="J85" t="n">
        <v>0.89162</v>
      </c>
      <c r="K85" t="n">
        <v>5.517075</v>
      </c>
      <c r="L85" t="n">
        <v>0.83341</v>
      </c>
      <c r="M85" t="n">
        <v>1</v>
      </c>
      <c r="N85" t="n">
        <v>1.2997</v>
      </c>
      <c r="O85" t="n">
        <v>0.370155</v>
      </c>
      <c r="P85" t="n">
        <v>4.8346</v>
      </c>
      <c r="Q85" t="n">
        <v>0.397596</v>
      </c>
      <c r="R85" t="n">
        <v>24.5217</v>
      </c>
      <c r="S85" t="n">
        <v>12.7021</v>
      </c>
      <c r="T85" t="n">
        <v>0</v>
      </c>
      <c r="U85" t="n">
        <v>21.4318</v>
      </c>
      <c r="V85" t="n">
        <v>3</v>
      </c>
      <c r="W85" t="n">
        <v>0.8076950000000001</v>
      </c>
      <c r="X85" t="n">
        <v>463</v>
      </c>
      <c r="Y85" t="n">
        <v>0</v>
      </c>
      <c r="Z85" t="n">
        <v>0</v>
      </c>
    </row>
    <row r="86">
      <c r="A86" t="inlineStr">
        <is>
          <t>M2</t>
        </is>
      </c>
      <c r="B86" t="inlineStr">
        <is>
          <t>E2</t>
        </is>
      </c>
      <c r="C86" t="n">
        <v>1</v>
      </c>
      <c r="D86" t="inlineStr">
        <is>
          <t>2026-05-03 08:52:58</t>
        </is>
      </c>
      <c r="E86" t="n">
        <v>148.9988</v>
      </c>
      <c r="F86" t="n">
        <v>94.18091099999999</v>
      </c>
      <c r="G86" t="n">
        <v>0.7276</v>
      </c>
      <c r="H86" t="n">
        <v>5.025419</v>
      </c>
      <c r="I86" t="n">
        <v>3.2093</v>
      </c>
      <c r="J86" t="n">
        <v>0.86685</v>
      </c>
      <c r="K86" t="n">
        <v>7.0835</v>
      </c>
      <c r="L86" t="n">
        <v>0.638768</v>
      </c>
      <c r="M86" t="n">
        <v>1</v>
      </c>
      <c r="N86" t="n">
        <v>1</v>
      </c>
      <c r="O86" t="n">
        <v>0.47295</v>
      </c>
      <c r="P86" t="n">
        <v>4.2079</v>
      </c>
      <c r="Q86" t="n">
        <v>0.557963</v>
      </c>
      <c r="R86" t="n">
        <v>85.1571</v>
      </c>
      <c r="S86" t="n">
        <v>21.1768</v>
      </c>
      <c r="T86" t="n">
        <v>0</v>
      </c>
      <c r="U86" t="n">
        <v>52.3554</v>
      </c>
      <c r="V86" t="n">
        <v>8</v>
      </c>
      <c r="W86" t="n">
        <v>0.632092</v>
      </c>
      <c r="X86" t="n">
        <v>960</v>
      </c>
      <c r="Y86" t="n">
        <v>0</v>
      </c>
      <c r="Z86" t="n">
        <v>0</v>
      </c>
    </row>
    <row r="87">
      <c r="A87" t="inlineStr">
        <is>
          <t>M2</t>
        </is>
      </c>
      <c r="B87" t="inlineStr">
        <is>
          <t>E2</t>
        </is>
      </c>
      <c r="C87" t="n">
        <v>2</v>
      </c>
      <c r="D87" t="inlineStr">
        <is>
          <t>2026-05-03 08:55:30</t>
        </is>
      </c>
      <c r="E87" t="n">
        <v>115.1768</v>
      </c>
      <c r="F87" t="n">
        <v>94.05731400000001</v>
      </c>
      <c r="G87" t="n">
        <v>0.7379</v>
      </c>
      <c r="H87" t="n">
        <v>6.560363</v>
      </c>
      <c r="I87" t="n">
        <v>3.78985</v>
      </c>
      <c r="J87" t="n">
        <v>0.8695000000000001</v>
      </c>
      <c r="K87" t="n">
        <v>9.4933</v>
      </c>
      <c r="L87" t="n">
        <v>0.820791</v>
      </c>
      <c r="M87" t="n">
        <v>1</v>
      </c>
      <c r="N87" t="n">
        <v>1</v>
      </c>
      <c r="O87" t="n">
        <v>0.376864</v>
      </c>
      <c r="P87" t="n">
        <v>4.1278</v>
      </c>
      <c r="Q87" t="n">
        <v>0.470042</v>
      </c>
      <c r="R87" t="n">
        <v>53.1255</v>
      </c>
      <c r="S87" t="n">
        <v>10.9307</v>
      </c>
      <c r="T87" t="n">
        <v>0</v>
      </c>
      <c r="U87" t="n">
        <v>19.7595</v>
      </c>
      <c r="V87" t="n">
        <v>3</v>
      </c>
      <c r="W87" t="n">
        <v>0.816634</v>
      </c>
      <c r="X87" t="n">
        <v>770</v>
      </c>
      <c r="Y87" t="n">
        <v>0</v>
      </c>
      <c r="Z87" t="n">
        <v>0</v>
      </c>
    </row>
    <row r="88">
      <c r="A88" t="inlineStr">
        <is>
          <t>M2</t>
        </is>
      </c>
      <c r="B88" t="inlineStr">
        <is>
          <t>E2</t>
        </is>
      </c>
      <c r="C88" t="n">
        <v>3</v>
      </c>
      <c r="D88" t="inlineStr">
        <is>
          <t>2026-05-03 08:58:15</t>
        </is>
      </c>
      <c r="E88" t="n">
        <v>111.5687</v>
      </c>
      <c r="F88" t="n">
        <v>94.326009</v>
      </c>
      <c r="G88" t="n">
        <v>0.7362</v>
      </c>
      <c r="H88" t="n">
        <v>6.646169</v>
      </c>
      <c r="I88" t="n">
        <v>3.8327</v>
      </c>
      <c r="J88" t="n">
        <v>0.86874</v>
      </c>
      <c r="K88" t="n">
        <v>9.560225000000001</v>
      </c>
      <c r="L88" t="n">
        <v>0.841687</v>
      </c>
      <c r="M88" t="n">
        <v>1</v>
      </c>
      <c r="N88" t="n">
        <v>1</v>
      </c>
      <c r="O88" t="n">
        <v>0.358915</v>
      </c>
      <c r="P88" t="n">
        <v>4.4443</v>
      </c>
      <c r="Q88" t="n">
        <v>0.418648</v>
      </c>
      <c r="R88" t="n">
        <v>51.0783</v>
      </c>
      <c r="S88" t="n">
        <v>10.4548</v>
      </c>
      <c r="T88" t="n">
        <v>0</v>
      </c>
      <c r="U88" t="n">
        <v>16.2647</v>
      </c>
      <c r="V88" t="n">
        <v>3</v>
      </c>
      <c r="W88" t="n">
        <v>0.845452</v>
      </c>
      <c r="X88" t="n">
        <v>711</v>
      </c>
      <c r="Y88" t="n">
        <v>0</v>
      </c>
      <c r="Z88" t="n">
        <v>0</v>
      </c>
    </row>
    <row r="89">
      <c r="A89" t="inlineStr">
        <is>
          <t>M2</t>
        </is>
      </c>
      <c r="B89" t="inlineStr">
        <is>
          <t>E2</t>
        </is>
      </c>
      <c r="C89" t="n">
        <v>4</v>
      </c>
      <c r="D89" t="inlineStr">
        <is>
          <t>2026-05-03 09:00:35</t>
        </is>
      </c>
      <c r="E89" t="n">
        <v>110.7102</v>
      </c>
      <c r="F89" t="n">
        <v>93.513701</v>
      </c>
      <c r="G89" t="n">
        <v>0.6878</v>
      </c>
      <c r="H89" t="n">
        <v>7.295002</v>
      </c>
      <c r="I89" t="n">
        <v>5.46885</v>
      </c>
      <c r="J89" t="n">
        <v>0.875</v>
      </c>
      <c r="K89" t="n">
        <v>8.061400000000001</v>
      </c>
      <c r="L89" t="n">
        <v>0.8474660000000001</v>
      </c>
      <c r="M89" t="n">
        <v>1</v>
      </c>
      <c r="N89" t="n">
        <v>1.9829</v>
      </c>
      <c r="O89" t="n">
        <v>0.359164</v>
      </c>
      <c r="P89" t="n">
        <v>11.0779</v>
      </c>
      <c r="Q89" t="n">
        <v>0.608048</v>
      </c>
      <c r="R89" t="n">
        <v>20.5309</v>
      </c>
      <c r="S89" t="n">
        <v>10.733</v>
      </c>
      <c r="T89" t="n">
        <v>0</v>
      </c>
      <c r="U89" t="n">
        <v>16.2207</v>
      </c>
      <c r="V89" t="n">
        <v>2</v>
      </c>
      <c r="W89" t="n">
        <v>0.8446709999999999</v>
      </c>
      <c r="X89" t="n">
        <v>710</v>
      </c>
      <c r="Y89" t="n">
        <v>0</v>
      </c>
      <c r="Z89" t="n">
        <v>0</v>
      </c>
    </row>
    <row r="90">
      <c r="A90" t="inlineStr">
        <is>
          <t>M2</t>
        </is>
      </c>
      <c r="B90" t="inlineStr">
        <is>
          <t>E2</t>
        </is>
      </c>
      <c r="C90" t="n">
        <v>5</v>
      </c>
      <c r="D90" t="inlineStr">
        <is>
          <t>2026-05-03 09:03:59</t>
        </is>
      </c>
      <c r="E90" t="n">
        <v>110.5394</v>
      </c>
      <c r="F90" t="n">
        <v>93.280997</v>
      </c>
      <c r="G90" t="n">
        <v>0.7559</v>
      </c>
      <c r="H90" t="n">
        <v>7.653947</v>
      </c>
      <c r="I90" t="n">
        <v>5.6081</v>
      </c>
      <c r="J90" t="n">
        <v>0.87557</v>
      </c>
      <c r="K90" t="n">
        <v>6.66865</v>
      </c>
      <c r="L90" t="n">
        <v>0.844132</v>
      </c>
      <c r="M90" t="n">
        <v>1</v>
      </c>
      <c r="N90" t="n">
        <v>2.1921</v>
      </c>
      <c r="O90" t="n">
        <v>0.363308</v>
      </c>
      <c r="P90" t="n">
        <v>13.2693</v>
      </c>
      <c r="Q90" t="n">
        <v>0.679109</v>
      </c>
      <c r="R90" t="n">
        <v>19.238</v>
      </c>
      <c r="S90" t="n">
        <v>10.9649</v>
      </c>
      <c r="T90" t="n">
        <v>0</v>
      </c>
      <c r="U90" t="n">
        <v>16.2981</v>
      </c>
      <c r="V90" t="n">
        <v>2</v>
      </c>
      <c r="W90" t="n">
        <v>0.843871</v>
      </c>
      <c r="X90" t="n">
        <v>727</v>
      </c>
      <c r="Y90" t="n">
        <v>0</v>
      </c>
      <c r="Z90" t="n">
        <v>0</v>
      </c>
    </row>
    <row r="91">
      <c r="A91" t="inlineStr">
        <is>
          <t>M2</t>
        </is>
      </c>
      <c r="B91" t="inlineStr">
        <is>
          <t>E2</t>
        </is>
      </c>
      <c r="C91" t="n">
        <v>6</v>
      </c>
      <c r="D91" t="inlineStr">
        <is>
          <t>2026-05-03 09:06:52</t>
        </is>
      </c>
      <c r="E91" t="n">
        <v>110.4917</v>
      </c>
      <c r="F91" t="n">
        <v>93.571501</v>
      </c>
      <c r="G91" t="n">
        <v>0.6763</v>
      </c>
      <c r="H91" t="n">
        <v>7.851667</v>
      </c>
      <c r="I91" t="n">
        <v>8.852499999999999</v>
      </c>
      <c r="J91" t="n">
        <v>0.87834</v>
      </c>
      <c r="K91" t="n">
        <v>8.4658</v>
      </c>
      <c r="L91" t="n">
        <v>0.846543</v>
      </c>
      <c r="M91" t="n">
        <v>1</v>
      </c>
      <c r="N91" t="n">
        <v>2.7224</v>
      </c>
      <c r="O91" t="n">
        <v>0.363213</v>
      </c>
      <c r="P91" t="n">
        <v>23.3623</v>
      </c>
      <c r="Q91" t="n">
        <v>1.048755</v>
      </c>
      <c r="R91" t="n">
        <v>26.8413</v>
      </c>
      <c r="S91" t="n">
        <v>9.4184</v>
      </c>
      <c r="T91" t="n">
        <v>0</v>
      </c>
      <c r="U91" t="n">
        <v>15.7297</v>
      </c>
      <c r="V91" t="n">
        <v>3</v>
      </c>
      <c r="W91" t="n">
        <v>0.846865</v>
      </c>
      <c r="X91" t="n">
        <v>782</v>
      </c>
      <c r="Y91" t="n">
        <v>0</v>
      </c>
      <c r="Z91" t="n">
        <v>0</v>
      </c>
    </row>
    <row r="92">
      <c r="A92" t="inlineStr">
        <is>
          <t>M2</t>
        </is>
      </c>
      <c r="B92" t="inlineStr">
        <is>
          <t>E2</t>
        </is>
      </c>
      <c r="C92" t="n">
        <v>7</v>
      </c>
      <c r="D92" t="inlineStr">
        <is>
          <t>2026-05-03 09:09:12</t>
        </is>
      </c>
      <c r="E92" t="n">
        <v>110.2866</v>
      </c>
      <c r="F92" t="n">
        <v>93.498509</v>
      </c>
      <c r="G92" t="n">
        <v>0.6693</v>
      </c>
      <c r="H92" t="n">
        <v>7.855859</v>
      </c>
      <c r="I92" t="n">
        <v>8.961</v>
      </c>
      <c r="J92" t="n">
        <v>0.883085</v>
      </c>
      <c r="K92" t="n">
        <v>8.51315</v>
      </c>
      <c r="L92" t="n">
        <v>0.843987</v>
      </c>
      <c r="M92" t="n">
        <v>1</v>
      </c>
      <c r="N92" t="n">
        <v>1.3743</v>
      </c>
      <c r="O92" t="n">
        <v>0.35765</v>
      </c>
      <c r="P92" t="n">
        <v>6.8588</v>
      </c>
      <c r="Q92" t="n">
        <v>0.547664</v>
      </c>
      <c r="R92" t="n">
        <v>27.0118</v>
      </c>
      <c r="S92" t="n">
        <v>9.409000000000001</v>
      </c>
      <c r="T92" t="n">
        <v>0</v>
      </c>
      <c r="U92" t="n">
        <v>15.4581</v>
      </c>
      <c r="V92" t="n">
        <v>3</v>
      </c>
      <c r="W92" t="n">
        <v>0.847778</v>
      </c>
      <c r="X92" t="n">
        <v>721</v>
      </c>
      <c r="Y92" t="n">
        <v>0</v>
      </c>
      <c r="Z92" t="n">
        <v>0</v>
      </c>
    </row>
    <row r="93">
      <c r="A93" t="inlineStr">
        <is>
          <t>M2</t>
        </is>
      </c>
      <c r="B93" t="inlineStr">
        <is>
          <t>E2</t>
        </is>
      </c>
      <c r="C93" t="n">
        <v>8</v>
      </c>
      <c r="D93" t="inlineStr">
        <is>
          <t>2026-05-03 09:11:35</t>
        </is>
      </c>
      <c r="E93" t="n">
        <v>114.2633</v>
      </c>
      <c r="F93" t="n">
        <v>93.2213</v>
      </c>
      <c r="G93" t="n">
        <v>0.7234</v>
      </c>
      <c r="H93" t="n">
        <v>7.042453</v>
      </c>
      <c r="I93" t="n">
        <v>5.855</v>
      </c>
      <c r="J93" t="n">
        <v>0.882735</v>
      </c>
      <c r="K93" t="n">
        <v>9.326750000000001</v>
      </c>
      <c r="L93" t="n">
        <v>0.820024</v>
      </c>
      <c r="M93" t="n">
        <v>1</v>
      </c>
      <c r="N93" t="n">
        <v>2.1193</v>
      </c>
      <c r="O93" t="n">
        <v>0.383291</v>
      </c>
      <c r="P93" t="n">
        <v>11.3156</v>
      </c>
      <c r="Q93" t="n">
        <v>0.6333299999999999</v>
      </c>
      <c r="R93" t="n">
        <v>39.0193</v>
      </c>
      <c r="S93" t="n">
        <v>12.9203</v>
      </c>
      <c r="T93" t="n">
        <v>0</v>
      </c>
      <c r="U93" t="n">
        <v>19.5974</v>
      </c>
      <c r="V93" t="n">
        <v>3</v>
      </c>
      <c r="W93" t="n">
        <v>0.815846</v>
      </c>
      <c r="X93" t="n">
        <v>737</v>
      </c>
      <c r="Y93" t="n">
        <v>0</v>
      </c>
      <c r="Z93" t="n">
        <v>0</v>
      </c>
    </row>
    <row r="94">
      <c r="A94" t="inlineStr">
        <is>
          <t>M2</t>
        </is>
      </c>
      <c r="B94" t="inlineStr">
        <is>
          <t>E2</t>
        </is>
      </c>
      <c r="C94" t="n">
        <v>9</v>
      </c>
      <c r="D94" t="inlineStr">
        <is>
          <t>2026-05-03 09:14:12</t>
        </is>
      </c>
      <c r="E94" t="n">
        <v>115.01</v>
      </c>
      <c r="F94" t="n">
        <v>93.311308</v>
      </c>
      <c r="G94" t="n">
        <v>0.695</v>
      </c>
      <c r="H94" t="n">
        <v>6.594239</v>
      </c>
      <c r="I94" t="n">
        <v>4.12755</v>
      </c>
      <c r="J94" t="n">
        <v>0.8721</v>
      </c>
      <c r="K94" t="n">
        <v>9.703099999999999</v>
      </c>
      <c r="L94" t="n">
        <v>0.816099</v>
      </c>
      <c r="M94" t="n">
        <v>1</v>
      </c>
      <c r="N94" t="n">
        <v>2.2614</v>
      </c>
      <c r="O94" t="n">
        <v>0.387595</v>
      </c>
      <c r="P94" t="n">
        <v>13.4534</v>
      </c>
      <c r="Q94" t="n">
        <v>0.716046</v>
      </c>
      <c r="R94" t="n">
        <v>48.1031</v>
      </c>
      <c r="S94" t="n">
        <v>13.0682</v>
      </c>
      <c r="T94" t="n">
        <v>0</v>
      </c>
      <c r="U94" t="n">
        <v>20.2304</v>
      </c>
      <c r="V94" t="n">
        <v>3</v>
      </c>
      <c r="W94" t="n">
        <v>0.8113320000000001</v>
      </c>
      <c r="X94" t="n">
        <v>730</v>
      </c>
      <c r="Y94" t="n">
        <v>0</v>
      </c>
      <c r="Z94" t="n">
        <v>0</v>
      </c>
    </row>
    <row r="95">
      <c r="A95" t="inlineStr">
        <is>
          <t>M2</t>
        </is>
      </c>
      <c r="B95" t="inlineStr">
        <is>
          <t>E2</t>
        </is>
      </c>
      <c r="C95" t="n">
        <v>10</v>
      </c>
      <c r="D95" t="inlineStr">
        <is>
          <t>2026-05-03 09:17:32</t>
        </is>
      </c>
      <c r="E95" t="n">
        <v>129.798</v>
      </c>
      <c r="F95" t="n">
        <v>93.471003</v>
      </c>
      <c r="G95" t="n">
        <v>0.7186</v>
      </c>
      <c r="H95" t="n">
        <v>5.982886</v>
      </c>
      <c r="I95" t="n">
        <v>3.8536</v>
      </c>
      <c r="J95" t="n">
        <v>0.888225</v>
      </c>
      <c r="K95" t="n">
        <v>10.197975</v>
      </c>
      <c r="L95" t="n">
        <v>0.726158</v>
      </c>
      <c r="M95" t="n">
        <v>1</v>
      </c>
      <c r="N95" t="n">
        <v>2.2017</v>
      </c>
      <c r="O95" t="n">
        <v>0.444837</v>
      </c>
      <c r="P95" t="n">
        <v>13.6455</v>
      </c>
      <c r="Q95" t="n">
        <v>0.7014089999999999</v>
      </c>
      <c r="R95" t="n">
        <v>59.9052</v>
      </c>
      <c r="S95" t="n">
        <v>22.7858</v>
      </c>
      <c r="T95" t="n">
        <v>0</v>
      </c>
      <c r="U95" t="n">
        <v>34.8299</v>
      </c>
      <c r="V95" t="n">
        <v>4</v>
      </c>
      <c r="W95" t="n">
        <v>0.720127</v>
      </c>
      <c r="X95" t="n">
        <v>887</v>
      </c>
      <c r="Y95" t="n">
        <v>0</v>
      </c>
      <c r="Z95" t="n">
        <v>0</v>
      </c>
    </row>
    <row r="96">
      <c r="A96" t="inlineStr">
        <is>
          <t>M2</t>
        </is>
      </c>
      <c r="B96" t="inlineStr">
        <is>
          <t>E3</t>
        </is>
      </c>
      <c r="C96" t="n">
        <v>1</v>
      </c>
      <c r="D96" t="inlineStr">
        <is>
          <t>2026-05-03 15:40:21</t>
        </is>
      </c>
      <c r="E96" t="n">
        <v>130.9903</v>
      </c>
      <c r="F96" t="n">
        <v>93.502503</v>
      </c>
      <c r="G96" t="n">
        <v>0.858</v>
      </c>
      <c r="H96" t="n">
        <v>5.894668</v>
      </c>
      <c r="I96" t="n">
        <v>3.4157</v>
      </c>
      <c r="J96" t="n">
        <v>0.8685</v>
      </c>
      <c r="K96" t="n">
        <v>9.986000000000001</v>
      </c>
      <c r="L96" t="n">
        <v>0.723009</v>
      </c>
      <c r="M96" t="n">
        <v>1</v>
      </c>
      <c r="N96" t="n">
        <v>2.5367</v>
      </c>
      <c r="O96" t="n">
        <v>0.446036</v>
      </c>
      <c r="P96" t="n">
        <v>18.4594</v>
      </c>
      <c r="Q96" t="n">
        <v>0.8868279999999999</v>
      </c>
      <c r="R96" t="n">
        <v>70.16840000000001</v>
      </c>
      <c r="S96" t="n">
        <v>12.9536</v>
      </c>
      <c r="T96" t="n">
        <v>0</v>
      </c>
      <c r="U96" t="n">
        <v>35.4135</v>
      </c>
      <c r="V96" t="n">
        <v>6</v>
      </c>
      <c r="W96" t="n">
        <v>0.713812</v>
      </c>
      <c r="X96" t="n">
        <v>894</v>
      </c>
      <c r="Y96" t="n">
        <v>0</v>
      </c>
      <c r="Z96" t="n">
        <v>0</v>
      </c>
    </row>
    <row r="97">
      <c r="A97" t="inlineStr">
        <is>
          <t>M2</t>
        </is>
      </c>
      <c r="B97" t="inlineStr">
        <is>
          <t>E3</t>
        </is>
      </c>
      <c r="C97" t="n">
        <v>2</v>
      </c>
      <c r="D97" t="inlineStr">
        <is>
          <t>2026-05-03 15:52:22</t>
        </is>
      </c>
      <c r="E97" t="n">
        <v>114.3557</v>
      </c>
      <c r="F97" t="n">
        <v>93.570312</v>
      </c>
      <c r="G97" t="n">
        <v>0.7344000000000001</v>
      </c>
      <c r="H97" t="n">
        <v>6.506925</v>
      </c>
      <c r="I97" t="n">
        <v>3.81385</v>
      </c>
      <c r="J97" t="n">
        <v>0.86788</v>
      </c>
      <c r="K97" t="n">
        <v>9.698399999999999</v>
      </c>
      <c r="L97" t="n">
        <v>0.824606</v>
      </c>
      <c r="M97" t="n">
        <v>1</v>
      </c>
      <c r="N97" t="n">
        <v>1.7123</v>
      </c>
      <c r="O97" t="n">
        <v>0.376912</v>
      </c>
      <c r="P97" t="n">
        <v>11.4547</v>
      </c>
      <c r="Q97" t="n">
        <v>0.610456</v>
      </c>
      <c r="R97" t="n">
        <v>54.77</v>
      </c>
      <c r="S97" t="n">
        <v>10.9161</v>
      </c>
      <c r="T97" t="n">
        <v>0</v>
      </c>
      <c r="U97" t="n">
        <v>19.4517</v>
      </c>
      <c r="V97" t="n">
        <v>3</v>
      </c>
      <c r="W97" t="n">
        <v>0.818239</v>
      </c>
      <c r="X97" t="n">
        <v>722</v>
      </c>
      <c r="Y97" t="n">
        <v>0</v>
      </c>
      <c r="Z97" t="n">
        <v>0</v>
      </c>
    </row>
    <row r="98">
      <c r="A98" t="inlineStr">
        <is>
          <t>M2</t>
        </is>
      </c>
      <c r="B98" t="inlineStr">
        <is>
          <t>E3</t>
        </is>
      </c>
      <c r="C98" t="n">
        <v>3</v>
      </c>
      <c r="D98" t="inlineStr">
        <is>
          <t>2026-05-03 15:55:42</t>
        </is>
      </c>
      <c r="E98" t="n">
        <v>164.5763</v>
      </c>
      <c r="F98" t="n">
        <v>93.621303</v>
      </c>
      <c r="G98" t="n">
        <v>0.854</v>
      </c>
      <c r="H98" t="n">
        <v>5.23241</v>
      </c>
      <c r="I98" t="n">
        <v>2.9426</v>
      </c>
      <c r="J98" t="n">
        <v>0.8685</v>
      </c>
      <c r="K98" t="n">
        <v>9.8919</v>
      </c>
      <c r="L98" t="n">
        <v>0.580201</v>
      </c>
      <c r="M98" t="n">
        <v>1</v>
      </c>
      <c r="N98" t="n">
        <v>1.6152</v>
      </c>
      <c r="O98" t="n">
        <v>0.489381</v>
      </c>
      <c r="P98" t="n">
        <v>10.3625</v>
      </c>
      <c r="Q98" t="n">
        <v>0.598626</v>
      </c>
      <c r="R98" t="n">
        <v>102.2997</v>
      </c>
      <c r="S98" t="n">
        <v>24.2483</v>
      </c>
      <c r="T98" t="n">
        <v>0</v>
      </c>
      <c r="U98" t="n">
        <v>68.8349</v>
      </c>
      <c r="V98" t="n">
        <v>6</v>
      </c>
      <c r="W98" t="n">
        <v>0.568863</v>
      </c>
      <c r="X98" t="n">
        <v>1043</v>
      </c>
      <c r="Y98" t="n">
        <v>0</v>
      </c>
      <c r="Z98" t="n">
        <v>0</v>
      </c>
    </row>
    <row r="99">
      <c r="A99" t="inlineStr">
        <is>
          <t>M2</t>
        </is>
      </c>
      <c r="B99" t="inlineStr">
        <is>
          <t>E3</t>
        </is>
      </c>
      <c r="C99" t="n">
        <v>4</v>
      </c>
      <c r="D99" t="inlineStr">
        <is>
          <t>2026-05-03 15:58:14</t>
        </is>
      </c>
      <c r="E99" t="n">
        <v>88.96559999999999</v>
      </c>
      <c r="F99" t="n">
        <v>45.104783</v>
      </c>
      <c r="G99" t="n">
        <v>0.8542</v>
      </c>
      <c r="H99" t="n">
        <v>3.021464</v>
      </c>
      <c r="I99" t="n">
        <v>2.2628</v>
      </c>
      <c r="J99" t="n">
        <v>0.9062</v>
      </c>
      <c r="K99" t="n">
        <v>1.8765</v>
      </c>
      <c r="L99" t="n">
        <v>0.50797</v>
      </c>
      <c r="M99" t="n">
        <v>0.53165</v>
      </c>
      <c r="N99" t="n">
        <v>2.1958</v>
      </c>
      <c r="O99" t="n">
        <v>0.499219</v>
      </c>
      <c r="P99" t="n">
        <v>13.7485</v>
      </c>
      <c r="Q99" t="n">
        <v>0.8348</v>
      </c>
      <c r="R99" t="n">
        <v>72.8682</v>
      </c>
      <c r="S99" t="n">
        <v>15.1044</v>
      </c>
      <c r="T99" t="n">
        <v>0</v>
      </c>
      <c r="U99" t="n">
        <v>42.2897</v>
      </c>
      <c r="V99" t="n">
        <v>5</v>
      </c>
      <c r="W99" t="n">
        <v>0.506991</v>
      </c>
      <c r="X99" t="n">
        <v>568</v>
      </c>
      <c r="Y99" t="n">
        <v>0</v>
      </c>
      <c r="Z99" t="n">
        <v>0</v>
      </c>
    </row>
    <row r="100">
      <c r="A100" t="inlineStr">
        <is>
          <t>M2</t>
        </is>
      </c>
      <c r="B100" t="inlineStr">
        <is>
          <t>E3</t>
        </is>
      </c>
      <c r="C100" t="n">
        <v>5</v>
      </c>
      <c r="D100" t="inlineStr">
        <is>
          <t>2026-05-03 15:59:53</t>
        </is>
      </c>
      <c r="E100" t="n">
        <v>73.0796</v>
      </c>
      <c r="F100" t="n">
        <v>49.561269</v>
      </c>
      <c r="G100" t="n">
        <v>0.7465000000000001</v>
      </c>
      <c r="H100" t="n">
        <v>3.009602</v>
      </c>
      <c r="I100" t="n">
        <v>2.7818</v>
      </c>
      <c r="J100" t="n">
        <v>0.90655</v>
      </c>
      <c r="K100" t="n">
        <v>1.744675</v>
      </c>
      <c r="L100" t="n">
        <v>0.685002</v>
      </c>
      <c r="M100" t="n">
        <v>1</v>
      </c>
      <c r="N100" t="n">
        <v>2.7411</v>
      </c>
      <c r="O100" t="n">
        <v>0.468031</v>
      </c>
      <c r="P100" t="n">
        <v>25.0016</v>
      </c>
      <c r="Q100" t="n">
        <v>1.35072</v>
      </c>
      <c r="R100" t="n">
        <v>54.3206</v>
      </c>
      <c r="S100" t="n">
        <v>5.784</v>
      </c>
      <c r="T100" t="n">
        <v>0</v>
      </c>
      <c r="U100" t="n">
        <v>21.8944</v>
      </c>
      <c r="V100" t="n">
        <v>4</v>
      </c>
      <c r="W100" t="n">
        <v>0.678182</v>
      </c>
      <c r="X100" t="n">
        <v>461</v>
      </c>
      <c r="Y100" t="n">
        <v>0</v>
      </c>
      <c r="Z100" t="n">
        <v>0</v>
      </c>
    </row>
    <row r="101">
      <c r="A101" t="inlineStr">
        <is>
          <t>M2</t>
        </is>
      </c>
      <c r="B101" t="inlineStr">
        <is>
          <t>E3</t>
        </is>
      </c>
      <c r="C101" t="n">
        <v>6</v>
      </c>
      <c r="D101" t="inlineStr">
        <is>
          <t>2026-05-03 16:01:56</t>
        </is>
      </c>
      <c r="E101" t="n">
        <v>95.1797</v>
      </c>
      <c r="F101" t="n">
        <v>46.713632</v>
      </c>
      <c r="G101" t="n">
        <v>0.8538</v>
      </c>
      <c r="H101" t="n">
        <v>3.297829</v>
      </c>
      <c r="I101" t="n">
        <v>2.3796</v>
      </c>
      <c r="J101" t="n">
        <v>0.893025</v>
      </c>
      <c r="K101" t="n">
        <v>1.995675</v>
      </c>
      <c r="L101" t="n">
        <v>0.501593</v>
      </c>
      <c r="M101" t="n">
        <v>0.4744</v>
      </c>
      <c r="N101" t="n">
        <v>2.1192</v>
      </c>
      <c r="O101" t="n">
        <v>0.50132</v>
      </c>
      <c r="P101" t="n">
        <v>12.8135</v>
      </c>
      <c r="Q101" t="n">
        <v>0.721545</v>
      </c>
      <c r="R101" t="n">
        <v>75.8211</v>
      </c>
      <c r="S101" t="n">
        <v>19.2849</v>
      </c>
      <c r="T101" t="n">
        <v>0</v>
      </c>
      <c r="U101" t="n">
        <v>47.5628</v>
      </c>
      <c r="V101" t="n">
        <v>3</v>
      </c>
      <c r="W101" t="n">
        <v>0.490794</v>
      </c>
      <c r="X101" t="n">
        <v>595</v>
      </c>
      <c r="Y101" t="n">
        <v>0</v>
      </c>
      <c r="Z101" t="n">
        <v>0</v>
      </c>
    </row>
    <row r="102">
      <c r="A102" t="inlineStr">
        <is>
          <t>M2</t>
        </is>
      </c>
      <c r="B102" t="inlineStr">
        <is>
          <t>E3</t>
        </is>
      </c>
      <c r="C102" t="n">
        <v>7</v>
      </c>
      <c r="D102" t="inlineStr">
        <is>
          <t>2026-05-03 16:04:21</t>
        </is>
      </c>
      <c r="E102" t="n">
        <v>111.7352</v>
      </c>
      <c r="F102" t="n">
        <v>60.776098</v>
      </c>
      <c r="G102" t="n">
        <v>0.854</v>
      </c>
      <c r="H102" t="n">
        <v>4.365377</v>
      </c>
      <c r="I102" t="n">
        <v>2.4294</v>
      </c>
      <c r="J102" t="n">
        <v>0.88427</v>
      </c>
      <c r="K102" t="n">
        <v>3.55405</v>
      </c>
      <c r="L102" t="n">
        <v>0.547181</v>
      </c>
      <c r="M102" t="n">
        <v>1</v>
      </c>
      <c r="N102" t="n">
        <v>1.9335</v>
      </c>
      <c r="O102" t="n">
        <v>0.496386</v>
      </c>
      <c r="P102" t="n">
        <v>10.6261</v>
      </c>
      <c r="Q102" t="n">
        <v>0.628931</v>
      </c>
      <c r="R102" t="n">
        <v>79.6015</v>
      </c>
      <c r="S102" t="n">
        <v>23.767</v>
      </c>
      <c r="T102" t="n">
        <v>0</v>
      </c>
      <c r="U102" t="n">
        <v>49.7137</v>
      </c>
      <c r="V102" t="n">
        <v>3</v>
      </c>
      <c r="W102" t="n">
        <v>0.54393</v>
      </c>
      <c r="X102" t="n">
        <v>729</v>
      </c>
      <c r="Y102" t="n">
        <v>0</v>
      </c>
      <c r="Z102" t="n">
        <v>0</v>
      </c>
    </row>
    <row r="103">
      <c r="A103" t="inlineStr">
        <is>
          <t>M2</t>
        </is>
      </c>
      <c r="B103" t="inlineStr">
        <is>
          <t>E3</t>
        </is>
      </c>
      <c r="C103" t="n">
        <v>8</v>
      </c>
      <c r="D103" t="inlineStr">
        <is>
          <t>2026-05-03 16:06:05</t>
        </is>
      </c>
      <c r="E103" t="n">
        <v>77.4354</v>
      </c>
      <c r="F103" t="n">
        <v>44.664268</v>
      </c>
      <c r="G103" t="n">
        <v>0.8542999999999999</v>
      </c>
      <c r="H103" t="n">
        <v>2.914675</v>
      </c>
      <c r="I103" t="n">
        <v>2.3768</v>
      </c>
      <c r="J103" t="n">
        <v>0.868</v>
      </c>
      <c r="K103" t="n">
        <v>1.79565</v>
      </c>
      <c r="L103" t="n">
        <v>0.574354</v>
      </c>
      <c r="M103" t="n">
        <v>1</v>
      </c>
      <c r="N103" t="n">
        <v>2.1501</v>
      </c>
      <c r="O103" t="n">
        <v>0.49335</v>
      </c>
      <c r="P103" t="n">
        <v>14.336</v>
      </c>
      <c r="Q103" t="n">
        <v>0.932879</v>
      </c>
      <c r="R103" t="n">
        <v>64.37779999999999</v>
      </c>
      <c r="S103" t="n">
        <v>12.2725</v>
      </c>
      <c r="T103" t="n">
        <v>0</v>
      </c>
      <c r="U103" t="n">
        <v>31.2203</v>
      </c>
      <c r="V103" t="n">
        <v>5</v>
      </c>
      <c r="W103" t="n">
        <v>0.576794</v>
      </c>
      <c r="X103" t="n">
        <v>485</v>
      </c>
      <c r="Y103" t="n">
        <v>0</v>
      </c>
      <c r="Z103" t="n">
        <v>0</v>
      </c>
    </row>
    <row r="104">
      <c r="A104" t="inlineStr">
        <is>
          <t>M2</t>
        </is>
      </c>
      <c r="B104" t="inlineStr">
        <is>
          <t>E3</t>
        </is>
      </c>
      <c r="C104" t="n">
        <v>9</v>
      </c>
      <c r="D104" t="inlineStr">
        <is>
          <t>2026-05-03 16:08:13</t>
        </is>
      </c>
      <c r="E104" t="n">
        <v>107.7066</v>
      </c>
      <c r="F104" t="n">
        <v>66.558413</v>
      </c>
      <c r="G104" t="n">
        <v>0.7837</v>
      </c>
      <c r="H104" t="n">
        <v>5.124496</v>
      </c>
      <c r="I104" t="n">
        <v>2.8978</v>
      </c>
      <c r="J104" t="n">
        <v>0.8682</v>
      </c>
      <c r="K104" t="n">
        <v>10.328</v>
      </c>
      <c r="L104" t="n">
        <v>0.619779</v>
      </c>
      <c r="M104" t="n">
        <v>1</v>
      </c>
      <c r="N104" t="n">
        <v>2.067</v>
      </c>
      <c r="O104" t="n">
        <v>0.482281</v>
      </c>
      <c r="P104" t="n">
        <v>10.9521</v>
      </c>
      <c r="Q104" t="n">
        <v>0.720306</v>
      </c>
      <c r="R104" t="n">
        <v>67.16419999999999</v>
      </c>
      <c r="S104" t="n">
        <v>14.5822</v>
      </c>
      <c r="T104" t="n">
        <v>0</v>
      </c>
      <c r="U104" t="n">
        <v>39.1082</v>
      </c>
      <c r="V104" t="n">
        <v>5</v>
      </c>
      <c r="W104" t="n">
        <v>0.61796</v>
      </c>
      <c r="X104" t="n">
        <v>690</v>
      </c>
      <c r="Y104" t="n">
        <v>0</v>
      </c>
      <c r="Z104" t="n">
        <v>0</v>
      </c>
    </row>
    <row r="105">
      <c r="A105" t="inlineStr">
        <is>
          <t>M2</t>
        </is>
      </c>
      <c r="B105" t="inlineStr">
        <is>
          <t>E3</t>
        </is>
      </c>
      <c r="C105" t="n">
        <v>10</v>
      </c>
      <c r="D105" t="inlineStr">
        <is>
          <t>2026-05-03 15:37:40</t>
        </is>
      </c>
      <c r="E105" t="n">
        <v>144.2216</v>
      </c>
      <c r="F105" t="n">
        <v>93.64595199999999</v>
      </c>
      <c r="G105" t="n">
        <v>0.8283</v>
      </c>
      <c r="H105" t="n">
        <v>5.354755</v>
      </c>
      <c r="I105" t="n">
        <v>3.01425</v>
      </c>
      <c r="J105" t="n">
        <v>0.90018</v>
      </c>
      <c r="K105" t="n">
        <v>10.373</v>
      </c>
      <c r="L105" t="n">
        <v>0.646182</v>
      </c>
      <c r="M105" t="n">
        <v>1</v>
      </c>
      <c r="N105" t="n">
        <v>2.5772</v>
      </c>
      <c r="O105" t="n">
        <v>0.477088</v>
      </c>
      <c r="P105" t="n">
        <v>21.7511</v>
      </c>
      <c r="Q105" t="n">
        <v>0.943754</v>
      </c>
      <c r="R105" t="n">
        <v>83.878</v>
      </c>
      <c r="S105" t="n">
        <v>22.1067</v>
      </c>
      <c r="T105" t="n">
        <v>0</v>
      </c>
      <c r="U105" t="n">
        <v>48.4758</v>
      </c>
      <c r="V105" t="n">
        <v>6</v>
      </c>
      <c r="W105" t="n">
        <v>0.64932</v>
      </c>
      <c r="X105" t="n">
        <v>1006</v>
      </c>
      <c r="Y105" t="n">
        <v>0</v>
      </c>
      <c r="Z105" t="n">
        <v>0</v>
      </c>
    </row>
    <row r="106">
      <c r="A106" t="inlineStr">
        <is>
          <t>M2</t>
        </is>
      </c>
      <c r="B106" t="inlineStr">
        <is>
          <t>E4</t>
        </is>
      </c>
      <c r="C106" t="n">
        <v>1</v>
      </c>
      <c r="D106" t="inlineStr">
        <is>
          <t>2026-05-03 17:19:20</t>
        </is>
      </c>
      <c r="E106" t="n">
        <v>47.7953</v>
      </c>
      <c r="F106" t="n">
        <v>31.909378</v>
      </c>
      <c r="G106" t="n">
        <v>0.7089</v>
      </c>
      <c r="H106" t="n">
        <v>7.327136</v>
      </c>
      <c r="I106" t="n">
        <v>9.9079</v>
      </c>
      <c r="J106" t="n">
        <v>0.856895</v>
      </c>
      <c r="K106" t="n">
        <v>10.54</v>
      </c>
      <c r="L106" t="n">
        <v>0.684273</v>
      </c>
      <c r="M106" t="n">
        <v>1</v>
      </c>
      <c r="N106" t="n">
        <v>1.6835</v>
      </c>
      <c r="O106" t="n">
        <v>0.469348</v>
      </c>
      <c r="P106" t="n">
        <v>7.3949</v>
      </c>
      <c r="Q106" t="n">
        <v>0.52646</v>
      </c>
      <c r="R106" t="n">
        <v>18.4702</v>
      </c>
      <c r="S106" t="n">
        <v>6.3066</v>
      </c>
      <c r="T106" t="n">
        <v>0</v>
      </c>
      <c r="U106" t="n">
        <v>15.4671</v>
      </c>
      <c r="V106" t="n">
        <v>1</v>
      </c>
      <c r="W106" t="n">
        <v>0.6676260000000001</v>
      </c>
      <c r="X106" t="n">
        <v>287</v>
      </c>
      <c r="Y106" t="n">
        <v>0</v>
      </c>
      <c r="Z106" t="n">
        <v>0</v>
      </c>
    </row>
    <row r="107">
      <c r="A107" t="inlineStr">
        <is>
          <t>M2</t>
        </is>
      </c>
      <c r="B107" t="inlineStr">
        <is>
          <t>E4</t>
        </is>
      </c>
      <c r="C107" t="n">
        <v>2</v>
      </c>
      <c r="D107" t="inlineStr">
        <is>
          <t>2026-05-03 17:20:35</t>
        </is>
      </c>
      <c r="E107" t="n">
        <v>43.0582</v>
      </c>
      <c r="F107" t="n">
        <v>32.832207</v>
      </c>
      <c r="G107" t="n">
        <v>1.0985</v>
      </c>
      <c r="H107" t="n">
        <v>7.86281</v>
      </c>
      <c r="I107" t="n">
        <v>11.7751</v>
      </c>
      <c r="J107" t="n">
        <v>1.0985</v>
      </c>
      <c r="K107" t="n">
        <v>10.594675</v>
      </c>
      <c r="L107" t="n">
        <v>0.774601</v>
      </c>
      <c r="M107" t="n">
        <v>1</v>
      </c>
      <c r="N107" t="n">
        <v>1.5935</v>
      </c>
      <c r="O107" t="n">
        <v>0.422328</v>
      </c>
      <c r="P107" t="n">
        <v>7.4195</v>
      </c>
      <c r="Q107" t="n">
        <v>0.593849</v>
      </c>
      <c r="R107" t="n">
        <v>13.5575</v>
      </c>
      <c r="S107" t="n">
        <v>10.4484</v>
      </c>
      <c r="T107" t="n">
        <v>0</v>
      </c>
      <c r="U107" t="n">
        <v>9.783799999999999</v>
      </c>
      <c r="V107" t="n">
        <v>1</v>
      </c>
      <c r="W107" t="n">
        <v>0.762508</v>
      </c>
      <c r="X107" t="n">
        <v>247</v>
      </c>
      <c r="Y107" t="n">
        <v>0</v>
      </c>
      <c r="Z107" t="n">
        <v>0</v>
      </c>
    </row>
    <row r="108">
      <c r="A108" t="inlineStr">
        <is>
          <t>M3</t>
        </is>
      </c>
      <c r="B108" t="inlineStr">
        <is>
          <t>E1</t>
        </is>
      </c>
      <c r="C108" t="n">
        <v>1</v>
      </c>
      <c r="D108" t="inlineStr">
        <is>
          <t>2026-05-02 20:28:13</t>
        </is>
      </c>
      <c r="E108" t="n">
        <v>104.6902</v>
      </c>
      <c r="F108" t="n">
        <v>95.893878</v>
      </c>
      <c r="G108" t="n">
        <v>1.1422</v>
      </c>
      <c r="H108" t="n">
        <v>9.749351000000001</v>
      </c>
      <c r="I108" t="n">
        <v>12</v>
      </c>
      <c r="J108" t="n">
        <v>1.54515</v>
      </c>
      <c r="K108" t="n">
        <v>3.87385</v>
      </c>
      <c r="L108" t="n">
        <v>0.915919</v>
      </c>
      <c r="M108" t="n">
        <v>1</v>
      </c>
      <c r="N108" t="n">
        <v>1</v>
      </c>
      <c r="O108" t="n">
        <v>0.19748</v>
      </c>
      <c r="P108" t="n">
        <v>3.8342</v>
      </c>
      <c r="Q108" t="n">
        <v>0.399046</v>
      </c>
      <c r="R108" t="n">
        <v>15.2758</v>
      </c>
      <c r="S108" t="n">
        <v>0.7147</v>
      </c>
      <c r="T108" t="n">
        <v>0</v>
      </c>
      <c r="U108" t="n">
        <v>0</v>
      </c>
      <c r="V108" t="n">
        <v>0</v>
      </c>
      <c r="W108" t="n">
        <v>0.915978</v>
      </c>
      <c r="X108" t="n">
        <v>460</v>
      </c>
      <c r="Y108" t="n">
        <v>0</v>
      </c>
      <c r="Z108" t="n">
        <v>0</v>
      </c>
    </row>
    <row r="109">
      <c r="A109" t="inlineStr">
        <is>
          <t>M3</t>
        </is>
      </c>
      <c r="B109" t="inlineStr">
        <is>
          <t>E1</t>
        </is>
      </c>
      <c r="C109" t="n">
        <v>2</v>
      </c>
      <c r="D109" t="inlineStr">
        <is>
          <t>2026-05-02 20:31:55</t>
        </is>
      </c>
      <c r="E109" t="n">
        <v>106.3423</v>
      </c>
      <c r="F109" t="n">
        <v>97.13127299999999</v>
      </c>
      <c r="G109" t="n">
        <v>1.056</v>
      </c>
      <c r="H109" t="n">
        <v>9.633364</v>
      </c>
      <c r="I109" t="n">
        <v>12</v>
      </c>
      <c r="J109" t="n">
        <v>1.390765</v>
      </c>
      <c r="K109" t="n">
        <v>4.2609</v>
      </c>
      <c r="L109" t="n">
        <v>0.9151010000000001</v>
      </c>
      <c r="M109" t="n">
        <v>1</v>
      </c>
      <c r="N109" t="n">
        <v>1.6673</v>
      </c>
      <c r="O109" t="n">
        <v>0.205684</v>
      </c>
      <c r="P109" t="n">
        <v>6.1867</v>
      </c>
      <c r="Q109" t="n">
        <v>0.464535</v>
      </c>
      <c r="R109" t="n">
        <v>16.0336</v>
      </c>
      <c r="S109" t="n">
        <v>3.843</v>
      </c>
      <c r="T109" t="n">
        <v>0</v>
      </c>
      <c r="U109" t="n">
        <v>0</v>
      </c>
      <c r="V109" t="n">
        <v>0</v>
      </c>
      <c r="W109" t="n">
        <v>0.9133829999999999</v>
      </c>
      <c r="X109" t="n">
        <v>383</v>
      </c>
      <c r="Y109" t="n">
        <v>0</v>
      </c>
      <c r="Z109" t="n">
        <v>0</v>
      </c>
    </row>
    <row r="110">
      <c r="A110" t="inlineStr">
        <is>
          <t>M3</t>
        </is>
      </c>
      <c r="B110" t="inlineStr">
        <is>
          <t>E1</t>
        </is>
      </c>
      <c r="C110" t="n">
        <v>3</v>
      </c>
      <c r="D110" t="inlineStr">
        <is>
          <t>2026-05-02 20:34:11</t>
        </is>
      </c>
      <c r="E110" t="n">
        <v>110.6646</v>
      </c>
      <c r="F110" t="n">
        <v>99.68262900000001</v>
      </c>
      <c r="G110" t="n">
        <v>0.8686</v>
      </c>
      <c r="H110" t="n">
        <v>9.398702</v>
      </c>
      <c r="I110" t="n">
        <v>12</v>
      </c>
      <c r="J110" t="n">
        <v>1.12406</v>
      </c>
      <c r="K110" t="n">
        <v>5.182</v>
      </c>
      <c r="L110" t="n">
        <v>0.900838</v>
      </c>
      <c r="M110" t="n">
        <v>1</v>
      </c>
      <c r="N110" t="n">
        <v>1.5798</v>
      </c>
      <c r="O110" t="n">
        <v>0.217816</v>
      </c>
      <c r="P110" t="n">
        <v>5.8776</v>
      </c>
      <c r="Q110" t="n">
        <v>0.450718</v>
      </c>
      <c r="R110" t="n">
        <v>19.1982</v>
      </c>
      <c r="S110" t="n">
        <v>7.1668</v>
      </c>
      <c r="T110" t="n">
        <v>0</v>
      </c>
      <c r="U110" t="n">
        <v>0</v>
      </c>
      <c r="V110" t="n">
        <v>0</v>
      </c>
      <c r="W110" t="n">
        <v>0.900763</v>
      </c>
      <c r="X110" t="n">
        <v>386</v>
      </c>
      <c r="Y110" t="n">
        <v>0</v>
      </c>
      <c r="Z110" t="n">
        <v>0</v>
      </c>
    </row>
    <row r="111">
      <c r="A111" t="inlineStr">
        <is>
          <t>M3</t>
        </is>
      </c>
      <c r="B111" t="inlineStr">
        <is>
          <t>E1</t>
        </is>
      </c>
      <c r="C111" t="n">
        <v>4</v>
      </c>
      <c r="D111" t="inlineStr">
        <is>
          <t>2026-05-02 20:37:04</t>
        </is>
      </c>
      <c r="E111" t="n">
        <v>115.6126</v>
      </c>
      <c r="F111" t="n">
        <v>102.924085</v>
      </c>
      <c r="G111" t="n">
        <v>0.8369</v>
      </c>
      <c r="H111" t="n">
        <v>9.258240000000001</v>
      </c>
      <c r="I111" t="n">
        <v>12</v>
      </c>
      <c r="J111" t="n">
        <v>1.11227</v>
      </c>
      <c r="K111" t="n">
        <v>5.8264</v>
      </c>
      <c r="L111" t="n">
        <v>0.892795</v>
      </c>
      <c r="M111" t="n">
        <v>1</v>
      </c>
      <c r="N111" t="n">
        <v>1.8391</v>
      </c>
      <c r="O111" t="n">
        <v>0.226908</v>
      </c>
      <c r="P111" t="n">
        <v>9.286</v>
      </c>
      <c r="Q111" t="n">
        <v>0.566923</v>
      </c>
      <c r="R111" t="n">
        <v>22.3346</v>
      </c>
      <c r="S111" t="n">
        <v>9.721500000000001</v>
      </c>
      <c r="T111" t="n">
        <v>0</v>
      </c>
      <c r="U111" t="n">
        <v>0</v>
      </c>
      <c r="V111" t="n">
        <v>0</v>
      </c>
      <c r="W111" t="n">
        <v>0.89025</v>
      </c>
      <c r="X111" t="n">
        <v>416</v>
      </c>
      <c r="Y111" t="n">
        <v>0</v>
      </c>
      <c r="Z111" t="n">
        <v>0</v>
      </c>
    </row>
    <row r="112">
      <c r="A112" t="inlineStr">
        <is>
          <t>M3</t>
        </is>
      </c>
      <c r="B112" t="inlineStr">
        <is>
          <t>E1</t>
        </is>
      </c>
      <c r="C112" t="n">
        <v>5</v>
      </c>
      <c r="D112" t="inlineStr">
        <is>
          <t>2026-05-02 20:39:40</t>
        </is>
      </c>
      <c r="E112" t="n">
        <v>113.2952</v>
      </c>
      <c r="F112" t="n">
        <v>101.192445</v>
      </c>
      <c r="G112" t="n">
        <v>0.8532999999999999</v>
      </c>
      <c r="H112" t="n">
        <v>9.307245999999999</v>
      </c>
      <c r="I112" t="n">
        <v>12</v>
      </c>
      <c r="J112" t="n">
        <v>1.12008</v>
      </c>
      <c r="K112" t="n">
        <v>5.6066</v>
      </c>
      <c r="L112" t="n">
        <v>0.892927</v>
      </c>
      <c r="M112" t="n">
        <v>1</v>
      </c>
      <c r="N112" t="n">
        <v>1.2053</v>
      </c>
      <c r="O112" t="n">
        <v>0.220805</v>
      </c>
      <c r="P112" t="n">
        <v>3.4121</v>
      </c>
      <c r="Q112" t="n">
        <v>0.379121</v>
      </c>
      <c r="R112" t="n">
        <v>21.5631</v>
      </c>
      <c r="S112" t="n">
        <v>9.1601</v>
      </c>
      <c r="T112" t="n">
        <v>0</v>
      </c>
      <c r="U112" t="n">
        <v>0</v>
      </c>
      <c r="V112" t="n">
        <v>0</v>
      </c>
      <c r="W112" t="n">
        <v>0.8931750000000001</v>
      </c>
      <c r="X112" t="n">
        <v>388</v>
      </c>
      <c r="Y112" t="n">
        <v>0</v>
      </c>
      <c r="Z112" t="n">
        <v>0</v>
      </c>
    </row>
    <row r="113">
      <c r="A113" t="inlineStr">
        <is>
          <t>M3</t>
        </is>
      </c>
      <c r="B113" t="inlineStr">
        <is>
          <t>E1</t>
        </is>
      </c>
      <c r="C113" t="n">
        <v>6</v>
      </c>
      <c r="D113" t="inlineStr">
        <is>
          <t>2026-05-02 20:42:01</t>
        </is>
      </c>
      <c r="E113" t="n">
        <v>104.7279</v>
      </c>
      <c r="F113" t="n">
        <v>96.209202</v>
      </c>
      <c r="G113" t="n">
        <v>1.1524</v>
      </c>
      <c r="H113" t="n">
        <v>9.663553</v>
      </c>
      <c r="I113" t="n">
        <v>12</v>
      </c>
      <c r="J113" t="n">
        <v>1.54148</v>
      </c>
      <c r="K113" t="n">
        <v>4.257925</v>
      </c>
      <c r="L113" t="n">
        <v>0.917746</v>
      </c>
      <c r="M113" t="n">
        <v>1</v>
      </c>
      <c r="N113" t="n">
        <v>1.3008</v>
      </c>
      <c r="O113" t="n">
        <v>0.198615</v>
      </c>
      <c r="P113" t="n">
        <v>4.8278</v>
      </c>
      <c r="Q113" t="n">
        <v>0.424128</v>
      </c>
      <c r="R113" t="n">
        <v>15.031</v>
      </c>
      <c r="S113" t="n">
        <v>1.4872</v>
      </c>
      <c r="T113" t="n">
        <v>0</v>
      </c>
      <c r="U113" t="n">
        <v>0</v>
      </c>
      <c r="V113" t="n">
        <v>0</v>
      </c>
      <c r="W113" t="n">
        <v>0.918659</v>
      </c>
      <c r="X113" t="n">
        <v>373</v>
      </c>
      <c r="Y113" t="n">
        <v>0</v>
      </c>
      <c r="Z113" t="n">
        <v>0</v>
      </c>
    </row>
    <row r="114">
      <c r="A114" t="inlineStr">
        <is>
          <t>M3</t>
        </is>
      </c>
      <c r="B114" t="inlineStr">
        <is>
          <t>E1</t>
        </is>
      </c>
      <c r="C114" t="n">
        <v>7</v>
      </c>
      <c r="D114" t="inlineStr">
        <is>
          <t>2026-05-02 20:45:34</t>
        </is>
      </c>
      <c r="E114" t="n">
        <v>108.2172</v>
      </c>
      <c r="F114" t="n">
        <v>98.169586</v>
      </c>
      <c r="G114" t="n">
        <v>0.9292</v>
      </c>
      <c r="H114" t="n">
        <v>9.486053999999999</v>
      </c>
      <c r="I114" t="n">
        <v>12</v>
      </c>
      <c r="J114" t="n">
        <v>1.26528</v>
      </c>
      <c r="K114" t="n">
        <v>4.9288</v>
      </c>
      <c r="L114" t="n">
        <v>0.905357</v>
      </c>
      <c r="M114" t="n">
        <v>1</v>
      </c>
      <c r="N114" t="n">
        <v>1.1239</v>
      </c>
      <c r="O114" t="n">
        <v>0.209872</v>
      </c>
      <c r="P114" t="n">
        <v>3.4214</v>
      </c>
      <c r="Q114" t="n">
        <v>0.373612</v>
      </c>
      <c r="R114" t="n">
        <v>17.7709</v>
      </c>
      <c r="S114" t="n">
        <v>4.4035</v>
      </c>
      <c r="T114" t="n">
        <v>0</v>
      </c>
      <c r="U114" t="n">
        <v>0</v>
      </c>
      <c r="V114" t="n">
        <v>0</v>
      </c>
      <c r="W114" t="n">
        <v>0.907153</v>
      </c>
      <c r="X114" t="n">
        <v>369</v>
      </c>
      <c r="Y114" t="n">
        <v>0</v>
      </c>
      <c r="Z114" t="n">
        <v>0</v>
      </c>
    </row>
    <row r="115">
      <c r="A115" t="inlineStr">
        <is>
          <t>M3</t>
        </is>
      </c>
      <c r="B115" t="inlineStr">
        <is>
          <t>E1</t>
        </is>
      </c>
      <c r="C115" t="n">
        <v>8</v>
      </c>
      <c r="D115" t="inlineStr">
        <is>
          <t>2026-05-02 20:50:07</t>
        </is>
      </c>
      <c r="E115" t="n">
        <v>102.6671</v>
      </c>
      <c r="F115" t="n">
        <v>94.847185</v>
      </c>
      <c r="G115" t="n">
        <v>1.2635</v>
      </c>
      <c r="H115" t="n">
        <v>9.835597</v>
      </c>
      <c r="I115" t="n">
        <v>12</v>
      </c>
      <c r="J115" t="n">
        <v>1.76816</v>
      </c>
      <c r="K115" t="n">
        <v>3.5271</v>
      </c>
      <c r="L115" t="n">
        <v>0.925912</v>
      </c>
      <c r="M115" t="n">
        <v>1</v>
      </c>
      <c r="N115" t="n">
        <v>1.3112</v>
      </c>
      <c r="O115" t="n">
        <v>0.191076</v>
      </c>
      <c r="P115" t="n">
        <v>4.266</v>
      </c>
      <c r="Q115" t="n">
        <v>0.379783</v>
      </c>
      <c r="R115" t="n">
        <v>13.4588</v>
      </c>
      <c r="S115" t="n">
        <v>0</v>
      </c>
      <c r="T115" t="n">
        <v>0</v>
      </c>
      <c r="U115" t="n">
        <v>0.3001</v>
      </c>
      <c r="V115" t="n">
        <v>1</v>
      </c>
      <c r="W115" t="n">
        <v>0.923832</v>
      </c>
      <c r="X115" t="n">
        <v>354</v>
      </c>
      <c r="Y115" t="n">
        <v>0</v>
      </c>
      <c r="Z115" t="n">
        <v>0</v>
      </c>
    </row>
    <row r="116">
      <c r="A116" t="inlineStr">
        <is>
          <t>M3</t>
        </is>
      </c>
      <c r="B116" t="inlineStr">
        <is>
          <t>E1</t>
        </is>
      </c>
      <c r="C116" t="n">
        <v>9</v>
      </c>
      <c r="D116" t="inlineStr">
        <is>
          <t>2026-05-02 20:52:38</t>
        </is>
      </c>
      <c r="E116" t="n">
        <v>110.9241</v>
      </c>
      <c r="F116" t="n">
        <v>94.35497700000001</v>
      </c>
      <c r="G116" t="n">
        <v>1.8668</v>
      </c>
      <c r="H116" t="n">
        <v>8.167083</v>
      </c>
      <c r="I116" t="n">
        <v>9.7921</v>
      </c>
      <c r="J116" t="n">
        <v>1.978635</v>
      </c>
      <c r="K116" t="n">
        <v>8.48465</v>
      </c>
      <c r="L116" t="n">
        <v>0.858108</v>
      </c>
      <c r="M116" t="n">
        <v>1</v>
      </c>
      <c r="N116" t="n">
        <v>1.8555</v>
      </c>
      <c r="O116" t="n">
        <v>0.245502</v>
      </c>
      <c r="P116" t="n">
        <v>14.4142</v>
      </c>
      <c r="Q116" t="n">
        <v>0.797492</v>
      </c>
      <c r="R116" t="n">
        <v>29.5344</v>
      </c>
      <c r="S116" t="n">
        <v>0</v>
      </c>
      <c r="T116" t="n">
        <v>0</v>
      </c>
      <c r="U116" t="n">
        <v>0</v>
      </c>
      <c r="V116" t="n">
        <v>0</v>
      </c>
      <c r="W116" t="n">
        <v>0.850626</v>
      </c>
      <c r="X116" t="n">
        <v>453</v>
      </c>
      <c r="Y116" t="n">
        <v>0</v>
      </c>
      <c r="Z116" t="n">
        <v>0</v>
      </c>
    </row>
    <row r="117">
      <c r="A117" t="inlineStr">
        <is>
          <t>M3</t>
        </is>
      </c>
      <c r="B117" t="inlineStr">
        <is>
          <t>E1</t>
        </is>
      </c>
      <c r="C117" t="n">
        <v>10</v>
      </c>
      <c r="D117" t="inlineStr">
        <is>
          <t>2026-05-02 20:55:09</t>
        </is>
      </c>
      <c r="E117" t="n">
        <v>115.2238</v>
      </c>
      <c r="F117" t="n">
        <v>102.647309</v>
      </c>
      <c r="G117" t="n">
        <v>0.9373</v>
      </c>
      <c r="H117" t="n">
        <v>9.300304000000001</v>
      </c>
      <c r="I117" t="n">
        <v>12</v>
      </c>
      <c r="J117" t="n">
        <v>1.13464</v>
      </c>
      <c r="K117" t="n">
        <v>5.541</v>
      </c>
      <c r="L117" t="n">
        <v>0.893228</v>
      </c>
      <c r="M117" t="n">
        <v>1</v>
      </c>
      <c r="N117" t="n">
        <v>1.2321</v>
      </c>
      <c r="O117" t="n">
        <v>0.220633</v>
      </c>
      <c r="P117" t="n">
        <v>4.5237</v>
      </c>
      <c r="Q117" t="n">
        <v>0.408355</v>
      </c>
      <c r="R117" t="n">
        <v>21.789</v>
      </c>
      <c r="S117" t="n">
        <v>9.454700000000001</v>
      </c>
      <c r="T117" t="n">
        <v>0</v>
      </c>
      <c r="U117" t="n">
        <v>0</v>
      </c>
      <c r="V117" t="n">
        <v>0</v>
      </c>
      <c r="W117" t="n">
        <v>0.890852</v>
      </c>
      <c r="X117" t="n">
        <v>394</v>
      </c>
      <c r="Y117" t="n">
        <v>0</v>
      </c>
      <c r="Z117" t="n">
        <v>0</v>
      </c>
    </row>
    <row r="118">
      <c r="A118" t="inlineStr">
        <is>
          <t>M3</t>
        </is>
      </c>
      <c r="B118" t="inlineStr">
        <is>
          <t>E2</t>
        </is>
      </c>
      <c r="C118" t="n">
        <v>1</v>
      </c>
      <c r="D118" t="inlineStr">
        <is>
          <t>2026-05-03 13:17:02</t>
        </is>
      </c>
      <c r="E118" t="n">
        <v>120.5789</v>
      </c>
      <c r="F118" t="n">
        <v>99.01294300000001</v>
      </c>
      <c r="G118" t="n">
        <v>0.9116</v>
      </c>
      <c r="H118" t="n">
        <v>6.532162</v>
      </c>
      <c r="I118" t="n">
        <v>4.1495</v>
      </c>
      <c r="J118" t="n">
        <v>0.9970250000000001</v>
      </c>
      <c r="K118" t="n">
        <v>9.2936</v>
      </c>
      <c r="L118" t="n">
        <v>0.819797</v>
      </c>
      <c r="M118" t="n">
        <v>1</v>
      </c>
      <c r="N118" t="n">
        <v>1.8456</v>
      </c>
      <c r="O118" t="n">
        <v>0.261121</v>
      </c>
      <c r="P118" t="n">
        <v>12.4222</v>
      </c>
      <c r="Q118" t="n">
        <v>0.668343</v>
      </c>
      <c r="R118" t="n">
        <v>37.8215</v>
      </c>
      <c r="S118" t="n">
        <v>12.9006</v>
      </c>
      <c r="T118" t="n">
        <v>0</v>
      </c>
      <c r="U118" t="n">
        <v>0</v>
      </c>
      <c r="V118" t="n">
        <v>0</v>
      </c>
      <c r="W118" t="n">
        <v>0.821147</v>
      </c>
      <c r="X118" t="n">
        <v>935</v>
      </c>
      <c r="Y118" t="n">
        <v>0</v>
      </c>
      <c r="Z118" t="n">
        <v>0</v>
      </c>
    </row>
    <row r="119">
      <c r="A119" t="inlineStr">
        <is>
          <t>M3</t>
        </is>
      </c>
      <c r="B119" t="inlineStr">
        <is>
          <t>E2</t>
        </is>
      </c>
      <c r="C119" t="n">
        <v>2</v>
      </c>
      <c r="D119" t="inlineStr">
        <is>
          <t>2026-05-03 13:20:15</t>
        </is>
      </c>
      <c r="E119" t="n">
        <v>113.8612</v>
      </c>
      <c r="F119" t="n">
        <v>98.02883199999999</v>
      </c>
      <c r="G119" t="n">
        <v>0.8127</v>
      </c>
      <c r="H119" t="n">
        <v>7.167411</v>
      </c>
      <c r="I119" t="n">
        <v>5.7531</v>
      </c>
      <c r="J119" t="n">
        <v>1.15118</v>
      </c>
      <c r="K119" t="n">
        <v>8.331375</v>
      </c>
      <c r="L119" t="n">
        <v>0.860273</v>
      </c>
      <c r="M119" t="n">
        <v>1</v>
      </c>
      <c r="N119" t="n">
        <v>2.1717</v>
      </c>
      <c r="O119" t="n">
        <v>0.248876</v>
      </c>
      <c r="P119" t="n">
        <v>14.0278</v>
      </c>
      <c r="Q119" t="n">
        <v>0.82179</v>
      </c>
      <c r="R119" t="n">
        <v>27.7954</v>
      </c>
      <c r="S119" t="n">
        <v>7.6616</v>
      </c>
      <c r="T119" t="n">
        <v>0</v>
      </c>
      <c r="U119" t="n">
        <v>0</v>
      </c>
      <c r="V119" t="n">
        <v>0</v>
      </c>
      <c r="W119" t="n">
        <v>0.86095</v>
      </c>
      <c r="X119" t="n">
        <v>853</v>
      </c>
      <c r="Y119" t="n">
        <v>0</v>
      </c>
      <c r="Z119" t="n">
        <v>0</v>
      </c>
    </row>
    <row r="120">
      <c r="A120" t="inlineStr">
        <is>
          <t>M3</t>
        </is>
      </c>
      <c r="B120" t="inlineStr">
        <is>
          <t>E2</t>
        </is>
      </c>
      <c r="C120" t="n">
        <v>3</v>
      </c>
      <c r="D120" t="inlineStr">
        <is>
          <t>2026-05-03 13:25:17</t>
        </is>
      </c>
      <c r="E120" t="n">
        <v>116.9085</v>
      </c>
      <c r="F120" t="n">
        <v>100.435347</v>
      </c>
      <c r="G120" t="n">
        <v>0.8512</v>
      </c>
      <c r="H120" t="n">
        <v>7.235544</v>
      </c>
      <c r="I120" t="n">
        <v>5.97635</v>
      </c>
      <c r="J120" t="n">
        <v>0.99974</v>
      </c>
      <c r="K120" t="n">
        <v>8.390000000000001</v>
      </c>
      <c r="L120" t="n">
        <v>0.858024</v>
      </c>
      <c r="M120" t="n">
        <v>1</v>
      </c>
      <c r="N120" t="n">
        <v>2.1217</v>
      </c>
      <c r="O120" t="n">
        <v>0.247444</v>
      </c>
      <c r="P120" t="n">
        <v>13.7963</v>
      </c>
      <c r="Q120" t="n">
        <v>0.765341</v>
      </c>
      <c r="R120" t="n">
        <v>28.8732</v>
      </c>
      <c r="S120" t="n">
        <v>11.9407</v>
      </c>
      <c r="T120" t="n">
        <v>0</v>
      </c>
      <c r="U120" t="n">
        <v>0</v>
      </c>
      <c r="V120" t="n">
        <v>0</v>
      </c>
      <c r="W120" t="n">
        <v>0.859094</v>
      </c>
      <c r="X120" t="n">
        <v>854</v>
      </c>
      <c r="Y120" t="n">
        <v>0</v>
      </c>
      <c r="Z120" t="n">
        <v>0</v>
      </c>
    </row>
    <row r="121">
      <c r="A121" t="inlineStr">
        <is>
          <t>M3</t>
        </is>
      </c>
      <c r="B121" t="inlineStr">
        <is>
          <t>E2</t>
        </is>
      </c>
      <c r="C121" t="n">
        <v>4</v>
      </c>
      <c r="D121" t="inlineStr">
        <is>
          <t>2026-05-03 13:27:47</t>
        </is>
      </c>
      <c r="E121" t="n">
        <v>115.1778</v>
      </c>
      <c r="F121" t="n">
        <v>100.452924</v>
      </c>
      <c r="G121" t="n">
        <v>0.9483</v>
      </c>
      <c r="H121" t="n">
        <v>7.324966</v>
      </c>
      <c r="I121" t="n">
        <v>6.1714</v>
      </c>
      <c r="J121" t="n">
        <v>1.00087</v>
      </c>
      <c r="K121" t="n">
        <v>8.191924999999999</v>
      </c>
      <c r="L121" t="n">
        <v>0.866776</v>
      </c>
      <c r="M121" t="n">
        <v>1</v>
      </c>
      <c r="N121" t="n">
        <v>1</v>
      </c>
      <c r="O121" t="n">
        <v>0.236084</v>
      </c>
      <c r="P121" t="n">
        <v>7.849</v>
      </c>
      <c r="Q121" t="n">
        <v>0.545238</v>
      </c>
      <c r="R121" t="n">
        <v>26.0108</v>
      </c>
      <c r="S121" t="n">
        <v>12.3941</v>
      </c>
      <c r="T121" t="n">
        <v>0</v>
      </c>
      <c r="U121" t="n">
        <v>0</v>
      </c>
      <c r="V121" t="n">
        <v>0</v>
      </c>
      <c r="W121" t="n">
        <v>0.872155</v>
      </c>
      <c r="X121" t="n">
        <v>797</v>
      </c>
      <c r="Y121" t="n">
        <v>0</v>
      </c>
      <c r="Z121" t="n">
        <v>0</v>
      </c>
    </row>
    <row r="122">
      <c r="A122" t="inlineStr">
        <is>
          <t>M3</t>
        </is>
      </c>
      <c r="B122" t="inlineStr">
        <is>
          <t>E2</t>
        </is>
      </c>
      <c r="C122" t="n">
        <v>5</v>
      </c>
      <c r="D122" t="inlineStr">
        <is>
          <t>2026-05-03 13:30:17</t>
        </is>
      </c>
      <c r="E122" t="n">
        <v>116.5957</v>
      </c>
      <c r="F122" t="n">
        <v>99.880617</v>
      </c>
      <c r="G122" t="n">
        <v>0.9553</v>
      </c>
      <c r="H122" t="n">
        <v>7.1608</v>
      </c>
      <c r="I122" t="n">
        <v>5.87375</v>
      </c>
      <c r="J122" t="n">
        <v>1.10718</v>
      </c>
      <c r="K122" t="n">
        <v>8.7348</v>
      </c>
      <c r="L122" t="n">
        <v>0.8498790000000001</v>
      </c>
      <c r="M122" t="n">
        <v>1</v>
      </c>
      <c r="N122" t="n">
        <v>1</v>
      </c>
      <c r="O122" t="n">
        <v>0.245524</v>
      </c>
      <c r="P122" t="n">
        <v>6.1637</v>
      </c>
      <c r="Q122" t="n">
        <v>0.523515</v>
      </c>
      <c r="R122" t="n">
        <v>29.6839</v>
      </c>
      <c r="S122" t="n">
        <v>7.8137</v>
      </c>
      <c r="T122" t="n">
        <v>0</v>
      </c>
      <c r="U122" t="n">
        <v>0</v>
      </c>
      <c r="V122" t="n">
        <v>0</v>
      </c>
      <c r="W122" t="n">
        <v>0.856641</v>
      </c>
      <c r="X122" t="n">
        <v>814</v>
      </c>
      <c r="Y122" t="n">
        <v>0</v>
      </c>
      <c r="Z122" t="n">
        <v>0</v>
      </c>
    </row>
    <row r="123">
      <c r="A123" t="inlineStr">
        <is>
          <t>M3</t>
        </is>
      </c>
      <c r="B123" t="inlineStr">
        <is>
          <t>E2</t>
        </is>
      </c>
      <c r="C123" t="n">
        <v>6</v>
      </c>
      <c r="D123" t="inlineStr">
        <is>
          <t>2026-05-03 13:32:38</t>
        </is>
      </c>
      <c r="E123" t="n">
        <v>111.0495</v>
      </c>
      <c r="F123" t="n">
        <v>99.517128</v>
      </c>
      <c r="G123" t="n">
        <v>0.9483</v>
      </c>
      <c r="H123" t="n">
        <v>7.633711</v>
      </c>
      <c r="I123" t="n">
        <v>6.457</v>
      </c>
      <c r="J123" t="n">
        <v>1.143015</v>
      </c>
      <c r="K123" t="n">
        <v>7.759675</v>
      </c>
      <c r="L123" t="n">
        <v>0.893776</v>
      </c>
      <c r="M123" t="n">
        <v>1</v>
      </c>
      <c r="N123" t="n">
        <v>1</v>
      </c>
      <c r="O123" t="n">
        <v>0.217986</v>
      </c>
      <c r="P123" t="n">
        <v>5.7917</v>
      </c>
      <c r="Q123" t="n">
        <v>0.525896</v>
      </c>
      <c r="R123" t="n">
        <v>20.1018</v>
      </c>
      <c r="S123" t="n">
        <v>6.4001</v>
      </c>
      <c r="T123" t="n">
        <v>0</v>
      </c>
      <c r="U123" t="n">
        <v>0</v>
      </c>
      <c r="V123" t="n">
        <v>0</v>
      </c>
      <c r="W123" t="n">
        <v>0.896151</v>
      </c>
      <c r="X123" t="n">
        <v>771</v>
      </c>
      <c r="Y123" t="n">
        <v>0</v>
      </c>
      <c r="Z123" t="n">
        <v>0</v>
      </c>
    </row>
    <row r="124">
      <c r="A124" t="inlineStr">
        <is>
          <t>M3</t>
        </is>
      </c>
      <c r="B124" t="inlineStr">
        <is>
          <t>E2</t>
        </is>
      </c>
      <c r="C124" t="n">
        <v>7</v>
      </c>
      <c r="D124" t="inlineStr">
        <is>
          <t>2026-05-03 13:35:07</t>
        </is>
      </c>
      <c r="E124" t="n">
        <v>118.7932</v>
      </c>
      <c r="F124" t="n">
        <v>101.741576</v>
      </c>
      <c r="G124" t="n">
        <v>0.8999</v>
      </c>
      <c r="H124" t="n">
        <v>7.080085</v>
      </c>
      <c r="I124" t="n">
        <v>5.6767</v>
      </c>
      <c r="J124" t="n">
        <v>1.00435</v>
      </c>
      <c r="K124" t="n">
        <v>8.63575</v>
      </c>
      <c r="L124" t="n">
        <v>0.850013</v>
      </c>
      <c r="M124" t="n">
        <v>1</v>
      </c>
      <c r="N124" t="n">
        <v>1</v>
      </c>
      <c r="O124" t="n">
        <v>0.246213</v>
      </c>
      <c r="P124" t="n">
        <v>6.4659</v>
      </c>
      <c r="Q124" t="n">
        <v>0.53939</v>
      </c>
      <c r="R124" t="n">
        <v>29.7084</v>
      </c>
      <c r="S124" t="n">
        <v>13.8789</v>
      </c>
      <c r="T124" t="n">
        <v>0</v>
      </c>
      <c r="U124" t="n">
        <v>0</v>
      </c>
      <c r="V124" t="n">
        <v>0</v>
      </c>
      <c r="W124" t="n">
        <v>0.85646</v>
      </c>
      <c r="X124" t="n">
        <v>816</v>
      </c>
      <c r="Y124" t="n">
        <v>0</v>
      </c>
      <c r="Z124" t="n">
        <v>0</v>
      </c>
    </row>
    <row r="125">
      <c r="A125" t="inlineStr">
        <is>
          <t>M3</t>
        </is>
      </c>
      <c r="B125" t="inlineStr">
        <is>
          <t>E2</t>
        </is>
      </c>
      <c r="C125" t="n">
        <v>8</v>
      </c>
      <c r="D125" t="inlineStr">
        <is>
          <t>2026-05-03 13:37:44</t>
        </is>
      </c>
      <c r="E125" t="n">
        <v>115.203</v>
      </c>
      <c r="F125" t="n">
        <v>98.006567</v>
      </c>
      <c r="G125" t="n">
        <v>0.9494</v>
      </c>
      <c r="H125" t="n">
        <v>6.822334</v>
      </c>
      <c r="I125" t="n">
        <v>4.5366</v>
      </c>
      <c r="J125" t="n">
        <v>1.104505</v>
      </c>
      <c r="K125" t="n">
        <v>8.853125</v>
      </c>
      <c r="L125" t="n">
        <v>0.844073</v>
      </c>
      <c r="M125" t="n">
        <v>1</v>
      </c>
      <c r="N125" t="n">
        <v>1.0085</v>
      </c>
      <c r="O125" t="n">
        <v>0.248374</v>
      </c>
      <c r="P125" t="n">
        <v>7.1642</v>
      </c>
      <c r="Q125" t="n">
        <v>0.514911</v>
      </c>
      <c r="R125" t="n">
        <v>30.2155</v>
      </c>
      <c r="S125" t="n">
        <v>7.9061</v>
      </c>
      <c r="T125" t="n">
        <v>0</v>
      </c>
      <c r="U125" t="n">
        <v>0</v>
      </c>
      <c r="V125" t="n">
        <v>0</v>
      </c>
      <c r="W125" t="n">
        <v>0.850729</v>
      </c>
      <c r="X125" t="n">
        <v>799</v>
      </c>
      <c r="Y125" t="n">
        <v>0</v>
      </c>
      <c r="Z125" t="n">
        <v>0</v>
      </c>
    </row>
    <row r="126">
      <c r="A126" t="inlineStr">
        <is>
          <t>M3</t>
        </is>
      </c>
      <c r="B126" t="inlineStr">
        <is>
          <t>E2</t>
        </is>
      </c>
      <c r="C126" t="n">
        <v>9</v>
      </c>
      <c r="D126" t="inlineStr">
        <is>
          <t>2026-05-03 13:41:12</t>
        </is>
      </c>
      <c r="E126" t="n">
        <v>130.5248</v>
      </c>
      <c r="F126" t="n">
        <v>97.74714899999999</v>
      </c>
      <c r="G126" t="n">
        <v>0.9444</v>
      </c>
      <c r="H126" t="n">
        <v>4.949872</v>
      </c>
      <c r="I126" t="n">
        <v>3.6846</v>
      </c>
      <c r="J126" t="n">
        <v>1.32816</v>
      </c>
      <c r="K126" t="n">
        <v>4.32735</v>
      </c>
      <c r="L126" t="n">
        <v>0.7455540000000001</v>
      </c>
      <c r="M126" t="n">
        <v>0.99905</v>
      </c>
      <c r="N126" t="n">
        <v>1.1925</v>
      </c>
      <c r="O126" t="n">
        <v>0.273657</v>
      </c>
      <c r="P126" t="n">
        <v>7.3509</v>
      </c>
      <c r="Q126" t="n">
        <v>0.591761</v>
      </c>
      <c r="R126" t="n">
        <v>57.0957</v>
      </c>
      <c r="S126" t="n">
        <v>4.5093</v>
      </c>
      <c r="T126" t="n">
        <v>0</v>
      </c>
      <c r="U126" t="n">
        <v>0</v>
      </c>
      <c r="V126" t="n">
        <v>0</v>
      </c>
      <c r="W126" t="n">
        <v>0.748878</v>
      </c>
      <c r="X126" t="n">
        <v>924</v>
      </c>
      <c r="Y126" t="n">
        <v>0</v>
      </c>
      <c r="Z126" t="n">
        <v>0</v>
      </c>
    </row>
    <row r="127">
      <c r="A127" t="inlineStr">
        <is>
          <t>M3</t>
        </is>
      </c>
      <c r="B127" t="inlineStr">
        <is>
          <t>E2</t>
        </is>
      </c>
      <c r="C127" t="n">
        <v>10</v>
      </c>
      <c r="D127" t="inlineStr">
        <is>
          <t>2026-05-03 13:43:40</t>
        </is>
      </c>
      <c r="E127" t="n">
        <v>118.1204</v>
      </c>
      <c r="F127" t="n">
        <v>100.13836</v>
      </c>
      <c r="G127" t="n">
        <v>0.8306</v>
      </c>
      <c r="H127" t="n">
        <v>6.698158</v>
      </c>
      <c r="I127" t="n">
        <v>3.7603</v>
      </c>
      <c r="J127" t="n">
        <v>1.002565</v>
      </c>
      <c r="K127" t="n">
        <v>8.530150000000001</v>
      </c>
      <c r="L127" t="n">
        <v>0.8447210000000001</v>
      </c>
      <c r="M127" t="n">
        <v>1</v>
      </c>
      <c r="N127" t="n">
        <v>1</v>
      </c>
      <c r="O127" t="n">
        <v>0.247383</v>
      </c>
      <c r="P127" t="n">
        <v>6.63</v>
      </c>
      <c r="Q127" t="n">
        <v>0.654254</v>
      </c>
      <c r="R127" t="n">
        <v>30.2513</v>
      </c>
      <c r="S127" t="n">
        <v>11.8223</v>
      </c>
      <c r="T127" t="n">
        <v>0</v>
      </c>
      <c r="U127" t="n">
        <v>0</v>
      </c>
      <c r="V127" t="n">
        <v>0</v>
      </c>
      <c r="W127" t="n">
        <v>0.847765</v>
      </c>
      <c r="X127" t="n">
        <v>799</v>
      </c>
      <c r="Y127" t="n">
        <v>0</v>
      </c>
      <c r="Z127" t="n">
        <v>0</v>
      </c>
    </row>
    <row r="128">
      <c r="A128" t="inlineStr">
        <is>
          <t>M3</t>
        </is>
      </c>
      <c r="B128" t="inlineStr">
        <is>
          <t>E3</t>
        </is>
      </c>
      <c r="C128" t="n">
        <v>1</v>
      </c>
      <c r="D128" t="inlineStr">
        <is>
          <t>2026-05-03 16:10:06</t>
        </is>
      </c>
      <c r="E128" t="n">
        <v>76.54089999999999</v>
      </c>
      <c r="F128" t="n">
        <v>50.702429</v>
      </c>
      <c r="G128" t="n">
        <v>0.9658</v>
      </c>
      <c r="H128" t="n">
        <v>4.080493</v>
      </c>
      <c r="I128" t="n">
        <v>3.631</v>
      </c>
      <c r="J128" t="n">
        <v>1.39455</v>
      </c>
      <c r="K128" t="n">
        <v>0.863325</v>
      </c>
      <c r="L128" t="n">
        <v>0.659524</v>
      </c>
      <c r="M128" t="n">
        <v>0.4718</v>
      </c>
      <c r="N128" t="n">
        <v>1.2288</v>
      </c>
      <c r="O128" t="n">
        <v>0.248322</v>
      </c>
      <c r="P128" t="n">
        <v>8.4099</v>
      </c>
      <c r="Q128" t="n">
        <v>1.317721</v>
      </c>
      <c r="R128" t="n">
        <v>30.4903</v>
      </c>
      <c r="S128" t="n">
        <v>2.0053</v>
      </c>
      <c r="T128" t="n">
        <v>0</v>
      </c>
      <c r="U128" t="n">
        <v>0</v>
      </c>
      <c r="V128" t="n">
        <v>0</v>
      </c>
      <c r="W128" t="n">
        <v>0.662423</v>
      </c>
      <c r="X128" t="n">
        <v>515</v>
      </c>
      <c r="Y128" t="n">
        <v>0</v>
      </c>
      <c r="Z128" t="n">
        <v>0</v>
      </c>
    </row>
    <row r="129">
      <c r="A129" t="inlineStr">
        <is>
          <t>M3</t>
        </is>
      </c>
      <c r="B129" t="inlineStr">
        <is>
          <t>E3</t>
        </is>
      </c>
      <c r="C129" t="n">
        <v>2</v>
      </c>
      <c r="D129" t="inlineStr">
        <is>
          <t>2026-05-03 16:12:09</t>
        </is>
      </c>
      <c r="E129" t="n">
        <v>93.8931</v>
      </c>
      <c r="F129" t="n">
        <v>48.515971</v>
      </c>
      <c r="G129" t="n">
        <v>1.3715</v>
      </c>
      <c r="H129" t="n">
        <v>3.338931</v>
      </c>
      <c r="I129" t="n">
        <v>2.9015</v>
      </c>
      <c r="J129" t="n">
        <v>1.66143</v>
      </c>
      <c r="K129" t="n">
        <v>1.4195</v>
      </c>
      <c r="L129" t="n">
        <v>0.518103</v>
      </c>
      <c r="M129" t="n">
        <v>0.45</v>
      </c>
      <c r="N129" t="n">
        <v>1.6482</v>
      </c>
      <c r="O129" t="n">
        <v>0.180826</v>
      </c>
      <c r="P129" t="n">
        <v>15.7737</v>
      </c>
      <c r="Q129" t="n">
        <v>0.784183</v>
      </c>
      <c r="R129" t="n">
        <v>75.5341</v>
      </c>
      <c r="S129" t="n">
        <v>0</v>
      </c>
      <c r="T129" t="n">
        <v>0</v>
      </c>
      <c r="U129" t="n">
        <v>0</v>
      </c>
      <c r="V129" t="n">
        <v>0</v>
      </c>
      <c r="W129" t="n">
        <v>0.516715</v>
      </c>
      <c r="X129" t="n">
        <v>609</v>
      </c>
      <c r="Y129" t="n">
        <v>0</v>
      </c>
      <c r="Z129" t="n">
        <v>0</v>
      </c>
    </row>
    <row r="130">
      <c r="A130" t="inlineStr">
        <is>
          <t>M3</t>
        </is>
      </c>
      <c r="B130" t="inlineStr">
        <is>
          <t>E3</t>
        </is>
      </c>
      <c r="C130" t="n">
        <v>3</v>
      </c>
      <c r="D130" t="inlineStr">
        <is>
          <t>2026-05-03 16:14:06</t>
        </is>
      </c>
      <c r="E130" t="n">
        <v>88.5401</v>
      </c>
      <c r="F130" t="n">
        <v>56.545188</v>
      </c>
      <c r="G130" t="n">
        <v>1.2275</v>
      </c>
      <c r="H130" t="n">
        <v>4.555825</v>
      </c>
      <c r="I130" t="n">
        <v>3.6141</v>
      </c>
      <c r="J130" t="n">
        <v>1.44064</v>
      </c>
      <c r="K130" t="n">
        <v>0.2809</v>
      </c>
      <c r="L130" t="n">
        <v>0.643553</v>
      </c>
      <c r="M130" t="n">
        <v>0.4509</v>
      </c>
      <c r="N130" t="n">
        <v>2.059</v>
      </c>
      <c r="O130" t="n">
        <v>0.258844</v>
      </c>
      <c r="P130" t="n">
        <v>12.5325</v>
      </c>
      <c r="Q130" t="n">
        <v>1.097382</v>
      </c>
      <c r="R130" t="n">
        <v>40.7939</v>
      </c>
      <c r="S130" t="n">
        <v>0</v>
      </c>
      <c r="T130" t="n">
        <v>0</v>
      </c>
      <c r="U130" t="n">
        <v>0</v>
      </c>
      <c r="V130" t="n">
        <v>0</v>
      </c>
      <c r="W130" t="n">
        <v>0.638639</v>
      </c>
      <c r="X130" t="n">
        <v>561</v>
      </c>
      <c r="Y130" t="n">
        <v>0</v>
      </c>
      <c r="Z130" t="n">
        <v>0</v>
      </c>
    </row>
    <row r="131">
      <c r="A131" t="inlineStr">
        <is>
          <t>M3</t>
        </is>
      </c>
      <c r="B131" t="inlineStr">
        <is>
          <t>E3</t>
        </is>
      </c>
      <c r="C131" t="n">
        <v>4</v>
      </c>
      <c r="D131" t="inlineStr">
        <is>
          <t>2026-05-03 16:16:09</t>
        </is>
      </c>
      <c r="E131" t="n">
        <v>70.1979</v>
      </c>
      <c r="F131" t="n">
        <v>57.29424</v>
      </c>
      <c r="G131" t="n">
        <v>1.2653</v>
      </c>
      <c r="H131" t="n">
        <v>5.398899</v>
      </c>
      <c r="I131" t="n">
        <v>3.725</v>
      </c>
      <c r="J131" t="n">
        <v>1.549575</v>
      </c>
      <c r="K131" t="n">
        <v>1.8808</v>
      </c>
      <c r="L131" t="n">
        <v>0.821203</v>
      </c>
      <c r="M131" t="n">
        <v>0.9958</v>
      </c>
      <c r="N131" t="n">
        <v>2.1497</v>
      </c>
      <c r="O131" t="n">
        <v>0.253641</v>
      </c>
      <c r="P131" t="n">
        <v>13.5664</v>
      </c>
      <c r="Q131" t="n">
        <v>1.234716</v>
      </c>
      <c r="R131" t="n">
        <v>14.0627</v>
      </c>
      <c r="S131" t="n">
        <v>0</v>
      </c>
      <c r="T131" t="n">
        <v>0</v>
      </c>
      <c r="U131" t="n">
        <v>0</v>
      </c>
      <c r="V131" t="n">
        <v>0</v>
      </c>
      <c r="W131" t="n">
        <v>0.816182</v>
      </c>
      <c r="X131" t="n">
        <v>445</v>
      </c>
      <c r="Y131" t="n">
        <v>0</v>
      </c>
      <c r="Z131" t="n">
        <v>0</v>
      </c>
    </row>
    <row r="132">
      <c r="A132" t="inlineStr">
        <is>
          <t>M3</t>
        </is>
      </c>
      <c r="B132" t="inlineStr">
        <is>
          <t>E3</t>
        </is>
      </c>
      <c r="C132" t="n">
        <v>5</v>
      </c>
      <c r="D132" t="inlineStr">
        <is>
          <t>2026-05-03 16:17:57</t>
        </is>
      </c>
      <c r="E132" t="n">
        <v>58.0226</v>
      </c>
      <c r="F132" t="n">
        <v>45.418523</v>
      </c>
      <c r="G132" t="n">
        <v>1.2238</v>
      </c>
      <c r="H132" t="n">
        <v>4.014481</v>
      </c>
      <c r="I132" t="n">
        <v>3.6805</v>
      </c>
      <c r="J132" t="n">
        <v>1.39411</v>
      </c>
      <c r="K132" t="n">
        <v>0.4149</v>
      </c>
      <c r="L132" t="n">
        <v>0.785022</v>
      </c>
      <c r="M132" t="n">
        <v>0.9782</v>
      </c>
      <c r="N132" t="n">
        <v>2.0751</v>
      </c>
      <c r="O132" t="n">
        <v>0.260879</v>
      </c>
      <c r="P132" t="n">
        <v>16.7349</v>
      </c>
      <c r="Q132" t="n">
        <v>1.442888</v>
      </c>
      <c r="R132" t="n">
        <v>13.4948</v>
      </c>
      <c r="S132" t="n">
        <v>0</v>
      </c>
      <c r="T132" t="n">
        <v>0</v>
      </c>
      <c r="U132" t="n">
        <v>0</v>
      </c>
      <c r="V132" t="n">
        <v>0</v>
      </c>
      <c r="W132" t="n">
        <v>0.7827730000000001</v>
      </c>
      <c r="X132" t="n">
        <v>371</v>
      </c>
      <c r="Y132" t="n">
        <v>0</v>
      </c>
      <c r="Z132" t="n">
        <v>0</v>
      </c>
    </row>
    <row r="133">
      <c r="A133" t="inlineStr">
        <is>
          <t>M3</t>
        </is>
      </c>
      <c r="B133" t="inlineStr">
        <is>
          <t>E3</t>
        </is>
      </c>
      <c r="C133" t="n">
        <v>6</v>
      </c>
      <c r="D133" t="inlineStr">
        <is>
          <t>2026-05-03 16:19:32</t>
        </is>
      </c>
      <c r="E133" t="n">
        <v>69.18210000000001</v>
      </c>
      <c r="F133" t="n">
        <v>53.577267</v>
      </c>
      <c r="G133" t="n">
        <v>1.2289</v>
      </c>
      <c r="H133" t="n">
        <v>4.811869</v>
      </c>
      <c r="I133" t="n">
        <v>3.6804</v>
      </c>
      <c r="J133" t="n">
        <v>1.43013</v>
      </c>
      <c r="K133" t="n">
        <v>0.149225</v>
      </c>
      <c r="L133" t="n">
        <v>0.769435</v>
      </c>
      <c r="M133" t="n">
        <v>0.9681</v>
      </c>
      <c r="N133" t="n">
        <v>1.0047</v>
      </c>
      <c r="O133" t="n">
        <v>0.254624</v>
      </c>
      <c r="P133" t="n">
        <v>5.718</v>
      </c>
      <c r="Q133" t="n">
        <v>1.191253</v>
      </c>
      <c r="R133" t="n">
        <v>15.8693</v>
      </c>
      <c r="S133" t="n">
        <v>0</v>
      </c>
      <c r="T133" t="n">
        <v>0</v>
      </c>
      <c r="U133" t="n">
        <v>0</v>
      </c>
      <c r="V133" t="n">
        <v>0</v>
      </c>
      <c r="W133" t="n">
        <v>0.774438</v>
      </c>
      <c r="X133" t="n">
        <v>443</v>
      </c>
      <c r="Y133" t="n">
        <v>0</v>
      </c>
      <c r="Z133" t="n">
        <v>0</v>
      </c>
    </row>
    <row r="134">
      <c r="A134" t="inlineStr">
        <is>
          <t>M3</t>
        </is>
      </c>
      <c r="B134" t="inlineStr">
        <is>
          <t>E3</t>
        </is>
      </c>
      <c r="C134" t="n">
        <v>7</v>
      </c>
      <c r="D134" t="inlineStr">
        <is>
          <t>2026-05-03 16:21:15</t>
        </is>
      </c>
      <c r="E134" t="n">
        <v>71.1746</v>
      </c>
      <c r="F134" t="n">
        <v>60.580215</v>
      </c>
      <c r="G134" t="n">
        <v>0.9615</v>
      </c>
      <c r="H134" t="n">
        <v>5.66789</v>
      </c>
      <c r="I134" t="n">
        <v>3.71715</v>
      </c>
      <c r="J134" t="n">
        <v>1.29766</v>
      </c>
      <c r="K134" t="n">
        <v>6.9117</v>
      </c>
      <c r="L134" t="n">
        <v>0.844237</v>
      </c>
      <c r="M134" t="n">
        <v>0.9998</v>
      </c>
      <c r="N134" t="n">
        <v>1.0193</v>
      </c>
      <c r="O134" t="n">
        <v>0.236629</v>
      </c>
      <c r="P134" t="n">
        <v>6.3703</v>
      </c>
      <c r="Q134" t="n">
        <v>1.018076</v>
      </c>
      <c r="R134" t="n">
        <v>11.8283</v>
      </c>
      <c r="S134" t="n">
        <v>3.0984</v>
      </c>
      <c r="T134" t="n">
        <v>0</v>
      </c>
      <c r="U134" t="n">
        <v>0</v>
      </c>
      <c r="V134" t="n">
        <v>0</v>
      </c>
      <c r="W134" t="n">
        <v>0.851149</v>
      </c>
      <c r="X134" t="n">
        <v>462</v>
      </c>
      <c r="Y134" t="n">
        <v>0</v>
      </c>
      <c r="Z134" t="n">
        <v>0</v>
      </c>
    </row>
    <row r="135">
      <c r="A135" t="inlineStr">
        <is>
          <t>M3</t>
        </is>
      </c>
      <c r="B135" t="inlineStr">
        <is>
          <t>E3</t>
        </is>
      </c>
      <c r="C135" t="n">
        <v>8</v>
      </c>
      <c r="D135" t="inlineStr">
        <is>
          <t>2026-05-03 16:24:02</t>
        </is>
      </c>
      <c r="E135" t="n">
        <v>51.4955</v>
      </c>
      <c r="F135" t="n">
        <v>43.410283</v>
      </c>
      <c r="G135" t="n">
        <v>0.9568</v>
      </c>
      <c r="H135" t="n">
        <v>3.725637</v>
      </c>
      <c r="I135" t="n">
        <v>3.7089</v>
      </c>
      <c r="J135" t="n">
        <v>1.054775</v>
      </c>
      <c r="K135" t="n">
        <v>0.109275</v>
      </c>
      <c r="L135" t="n">
        <v>0.840453</v>
      </c>
      <c r="M135" t="n">
        <v>0.9999</v>
      </c>
      <c r="N135" t="n">
        <v>1</v>
      </c>
      <c r="O135" t="n">
        <v>0.240201</v>
      </c>
      <c r="P135" t="n">
        <v>5.0012</v>
      </c>
      <c r="Q135" t="n">
        <v>0.903331</v>
      </c>
      <c r="R135" t="n">
        <v>11.0178</v>
      </c>
      <c r="S135" t="n">
        <v>2.9842</v>
      </c>
      <c r="T135" t="n">
        <v>0</v>
      </c>
      <c r="U135" t="n">
        <v>0</v>
      </c>
      <c r="V135" t="n">
        <v>0</v>
      </c>
      <c r="W135" t="n">
        <v>0.842992</v>
      </c>
      <c r="X135" t="n">
        <v>339</v>
      </c>
      <c r="Y135" t="n">
        <v>0</v>
      </c>
      <c r="Z135" t="n">
        <v>0</v>
      </c>
    </row>
    <row r="136">
      <c r="A136" t="inlineStr">
        <is>
          <t>M3</t>
        </is>
      </c>
      <c r="B136" t="inlineStr">
        <is>
          <t>E3</t>
        </is>
      </c>
      <c r="C136" t="n">
        <v>9</v>
      </c>
      <c r="D136" t="inlineStr">
        <is>
          <t>2026-05-03 16:25:11</t>
        </is>
      </c>
      <c r="E136" t="n">
        <v>49.5672</v>
      </c>
      <c r="F136" t="n">
        <v>43.172197</v>
      </c>
      <c r="G136" t="n">
        <v>0.9597</v>
      </c>
      <c r="H136" t="n">
        <v>3.695588</v>
      </c>
      <c r="I136" t="n">
        <v>3.71525</v>
      </c>
      <c r="J136" t="n">
        <v>1.03474</v>
      </c>
      <c r="K136" t="n">
        <v>0.0854</v>
      </c>
      <c r="L136" t="n">
        <v>0.866177</v>
      </c>
      <c r="M136" t="n">
        <v>1</v>
      </c>
      <c r="N136" t="n">
        <v>1.0876</v>
      </c>
      <c r="O136" t="n">
        <v>0.23338</v>
      </c>
      <c r="P136" t="n">
        <v>6.9954</v>
      </c>
      <c r="Q136" t="n">
        <v>0.670509</v>
      </c>
      <c r="R136" t="n">
        <v>10.5793</v>
      </c>
      <c r="S136" t="n">
        <v>3.0104</v>
      </c>
      <c r="T136" t="n">
        <v>0</v>
      </c>
      <c r="U136" t="n">
        <v>0</v>
      </c>
      <c r="V136" t="n">
        <v>0</v>
      </c>
      <c r="W136" t="n">
        <v>0.870983</v>
      </c>
      <c r="X136" t="n">
        <v>326</v>
      </c>
      <c r="Y136" t="n">
        <v>0</v>
      </c>
      <c r="Z136" t="n">
        <v>0</v>
      </c>
    </row>
    <row r="137">
      <c r="A137" t="inlineStr">
        <is>
          <t>M3</t>
        </is>
      </c>
      <c r="B137" t="inlineStr">
        <is>
          <t>E3</t>
        </is>
      </c>
      <c r="C137" t="n">
        <v>10</v>
      </c>
      <c r="D137" t="inlineStr">
        <is>
          <t>2026-05-03 16:27:18</t>
        </is>
      </c>
      <c r="E137" t="n">
        <v>107.3515</v>
      </c>
      <c r="F137" t="n">
        <v>86.204983</v>
      </c>
      <c r="G137" t="n">
        <v>1.2415</v>
      </c>
      <c r="H137" t="n">
        <v>7.451085</v>
      </c>
      <c r="I137" t="n">
        <v>8.357799999999999</v>
      </c>
      <c r="J137" t="n">
        <v>1.47579</v>
      </c>
      <c r="K137" t="n">
        <v>9.4908</v>
      </c>
      <c r="L137" t="n">
        <v>0.797532</v>
      </c>
      <c r="M137" t="n">
        <v>1</v>
      </c>
      <c r="N137" t="n">
        <v>1.0667</v>
      </c>
      <c r="O137" t="n">
        <v>0.265844</v>
      </c>
      <c r="P137" t="n">
        <v>5.8898</v>
      </c>
      <c r="Q137" t="n">
        <v>0.447124</v>
      </c>
      <c r="R137" t="n">
        <v>37.3568</v>
      </c>
      <c r="S137" t="n">
        <v>0</v>
      </c>
      <c r="T137" t="n">
        <v>0</v>
      </c>
      <c r="U137" t="n">
        <v>0</v>
      </c>
      <c r="V137" t="n">
        <v>0</v>
      </c>
      <c r="W137" t="n">
        <v>0.803016</v>
      </c>
      <c r="X137" t="n">
        <v>711</v>
      </c>
      <c r="Y137" t="n">
        <v>0</v>
      </c>
      <c r="Z137" t="n">
        <v>0</v>
      </c>
    </row>
    <row r="138">
      <c r="A138" t="inlineStr">
        <is>
          <t>M3</t>
        </is>
      </c>
      <c r="B138" t="inlineStr">
        <is>
          <t>E4</t>
        </is>
      </c>
      <c r="C138" t="n">
        <v>1</v>
      </c>
      <c r="D138" t="inlineStr">
        <is>
          <t>2026-05-03 17:25:03</t>
        </is>
      </c>
      <c r="E138" t="n">
        <v>151.8253</v>
      </c>
      <c r="F138" t="n">
        <v>106.649468</v>
      </c>
      <c r="G138" t="n">
        <v>0.8875</v>
      </c>
      <c r="H138" t="n">
        <v>4.422426</v>
      </c>
      <c r="I138" t="n">
        <v>3.37015</v>
      </c>
      <c r="J138" t="n">
        <v>1.0093</v>
      </c>
      <c r="K138" t="n">
        <v>4.1155</v>
      </c>
      <c r="L138" t="n">
        <v>0.705892</v>
      </c>
      <c r="M138" t="n">
        <v>0.4502</v>
      </c>
      <c r="N138" t="n">
        <v>1.5312</v>
      </c>
      <c r="O138" t="n">
        <v>0.276759</v>
      </c>
      <c r="P138" t="n">
        <v>6.4294</v>
      </c>
      <c r="Q138" t="n">
        <v>0.526154</v>
      </c>
      <c r="R138" t="n">
        <v>81.2684</v>
      </c>
      <c r="S138" t="n">
        <v>16.9161</v>
      </c>
      <c r="T138" t="n">
        <v>0</v>
      </c>
      <c r="U138" t="n">
        <v>0</v>
      </c>
      <c r="V138" t="n">
        <v>0</v>
      </c>
      <c r="W138" t="n">
        <v>0.702449</v>
      </c>
      <c r="X138" t="n">
        <v>882</v>
      </c>
      <c r="Y138" t="n">
        <v>0</v>
      </c>
      <c r="Z138" t="n">
        <v>0</v>
      </c>
    </row>
    <row r="139">
      <c r="A139" t="inlineStr">
        <is>
          <t>M3</t>
        </is>
      </c>
      <c r="B139" t="inlineStr">
        <is>
          <t>E4</t>
        </is>
      </c>
      <c r="C139" t="n">
        <v>2</v>
      </c>
      <c r="D139" t="inlineStr">
        <is>
          <t>2026-05-03 17:31:36</t>
        </is>
      </c>
      <c r="E139" t="n">
        <v>186.0373</v>
      </c>
      <c r="F139" t="n">
        <v>104.09916</v>
      </c>
      <c r="G139" t="n">
        <v>0.7222</v>
      </c>
      <c r="H139" t="n">
        <v>2.996722</v>
      </c>
      <c r="I139" t="n">
        <v>2.5806</v>
      </c>
      <c r="J139" t="n">
        <v>1.020685</v>
      </c>
      <c r="K139" t="n">
        <v>1.627575</v>
      </c>
      <c r="L139" t="n">
        <v>0.561536</v>
      </c>
      <c r="M139" t="n">
        <v>0.45</v>
      </c>
      <c r="N139" t="n">
        <v>2.6836</v>
      </c>
      <c r="O139" t="n">
        <v>0.232958</v>
      </c>
      <c r="P139" t="n">
        <v>22.4207</v>
      </c>
      <c r="Q139" t="n">
        <v>0.906189</v>
      </c>
      <c r="R139" t="n">
        <v>147.7063</v>
      </c>
      <c r="S139" t="n">
        <v>16.2972</v>
      </c>
      <c r="T139" t="n">
        <v>0</v>
      </c>
      <c r="U139" t="n">
        <v>0</v>
      </c>
      <c r="V139" t="n">
        <v>0</v>
      </c>
      <c r="W139" t="n">
        <v>0.559561</v>
      </c>
      <c r="X139" t="n">
        <v>1043</v>
      </c>
      <c r="Y139" t="n">
        <v>0</v>
      </c>
      <c r="Z139" t="n">
        <v>0</v>
      </c>
    </row>
    <row r="140">
      <c r="A140" t="inlineStr">
        <is>
          <t>M3</t>
        </is>
      </c>
      <c r="B140" t="inlineStr">
        <is>
          <t>E4</t>
        </is>
      </c>
      <c r="C140" t="n">
        <v>3</v>
      </c>
      <c r="D140" t="inlineStr">
        <is>
          <t>2026-05-03 17:35:06</t>
        </is>
      </c>
      <c r="E140" t="n">
        <v>182.7249</v>
      </c>
      <c r="F140" t="n">
        <v>109.916185</v>
      </c>
      <c r="G140" t="n">
        <v>0.7563</v>
      </c>
      <c r="H140" t="n">
        <v>3.157643</v>
      </c>
      <c r="I140" t="n">
        <v>2.3622</v>
      </c>
      <c r="J140" t="n">
        <v>0.9716399999999999</v>
      </c>
      <c r="K140" t="n">
        <v>2.13065</v>
      </c>
      <c r="L140" t="n">
        <v>0.608299</v>
      </c>
      <c r="M140" t="n">
        <v>0.45</v>
      </c>
      <c r="N140" t="n">
        <v>2.1601</v>
      </c>
      <c r="O140" t="n">
        <v>0.256683</v>
      </c>
      <c r="P140" t="n">
        <v>13.0837</v>
      </c>
      <c r="Q140" t="n">
        <v>0.796471</v>
      </c>
      <c r="R140" t="n">
        <v>128.4621</v>
      </c>
      <c r="S140" t="n">
        <v>26.8181</v>
      </c>
      <c r="T140" t="n">
        <v>0</v>
      </c>
      <c r="U140" t="n">
        <v>0</v>
      </c>
      <c r="V140" t="n">
        <v>0</v>
      </c>
      <c r="W140" t="n">
        <v>0.601539</v>
      </c>
      <c r="X140" t="n">
        <v>1032</v>
      </c>
      <c r="Y140" t="n">
        <v>0</v>
      </c>
      <c r="Z140" t="n">
        <v>0</v>
      </c>
    </row>
    <row r="141">
      <c r="A141" t="inlineStr">
        <is>
          <t>M3</t>
        </is>
      </c>
      <c r="B141" t="inlineStr">
        <is>
          <t>E4</t>
        </is>
      </c>
      <c r="C141" t="n">
        <v>4</v>
      </c>
      <c r="D141" t="inlineStr">
        <is>
          <t>2026-05-03 17:38:36</t>
        </is>
      </c>
      <c r="E141" t="n">
        <v>155.9901</v>
      </c>
      <c r="F141" t="n">
        <v>108.148684</v>
      </c>
      <c r="G141" t="n">
        <v>0.8082</v>
      </c>
      <c r="H141" t="n">
        <v>4.067282</v>
      </c>
      <c r="I141" t="n">
        <v>3.0596</v>
      </c>
      <c r="J141" t="n">
        <v>1.00973</v>
      </c>
      <c r="K141" t="n">
        <v>4.2477</v>
      </c>
      <c r="L141" t="n">
        <v>0.691555</v>
      </c>
      <c r="M141" t="n">
        <v>0.45</v>
      </c>
      <c r="N141" t="n">
        <v>1.9018</v>
      </c>
      <c r="O141" t="n">
        <v>0.27856</v>
      </c>
      <c r="P141" t="n">
        <v>12.8916</v>
      </c>
      <c r="Q141" t="n">
        <v>0.675123</v>
      </c>
      <c r="R141" t="n">
        <v>86.32899999999999</v>
      </c>
      <c r="S141" t="n">
        <v>21.0718</v>
      </c>
      <c r="T141" t="n">
        <v>0</v>
      </c>
      <c r="U141" t="n">
        <v>0</v>
      </c>
      <c r="V141" t="n">
        <v>0</v>
      </c>
      <c r="W141" t="n">
        <v>0.6933049999999999</v>
      </c>
      <c r="X141" t="n">
        <v>911</v>
      </c>
      <c r="Y141" t="n">
        <v>0</v>
      </c>
      <c r="Z141" t="n">
        <v>0</v>
      </c>
    </row>
    <row r="142">
      <c r="A142" t="inlineStr">
        <is>
          <t>M3</t>
        </is>
      </c>
      <c r="B142" t="inlineStr">
        <is>
          <t>E4</t>
        </is>
      </c>
      <c r="C142" t="n">
        <v>5</v>
      </c>
      <c r="D142" t="inlineStr">
        <is>
          <t>2026-05-03 17:42:42</t>
        </is>
      </c>
      <c r="E142" t="n">
        <v>151.7781</v>
      </c>
      <c r="F142" t="n">
        <v>105.71449</v>
      </c>
      <c r="G142" t="n">
        <v>0.8978</v>
      </c>
      <c r="H142" t="n">
        <v>4.098735</v>
      </c>
      <c r="I142" t="n">
        <v>3.2156</v>
      </c>
      <c r="J142" t="n">
        <v>1.038545</v>
      </c>
      <c r="K142" t="n">
        <v>3.8919</v>
      </c>
      <c r="L142" t="n">
        <v>0.697363</v>
      </c>
      <c r="M142" t="n">
        <v>0.45</v>
      </c>
      <c r="N142" t="n">
        <v>2.6817</v>
      </c>
      <c r="O142" t="n">
        <v>0.282128</v>
      </c>
      <c r="P142" t="n">
        <v>20.429</v>
      </c>
      <c r="Q142" t="n">
        <v>0.872097</v>
      </c>
      <c r="R142" t="n">
        <v>82.6138</v>
      </c>
      <c r="S142" t="n">
        <v>15.0646</v>
      </c>
      <c r="T142" t="n">
        <v>0</v>
      </c>
      <c r="U142" t="n">
        <v>0</v>
      </c>
      <c r="V142" t="n">
        <v>0</v>
      </c>
      <c r="W142" t="n">
        <v>0.696507</v>
      </c>
      <c r="X142" t="n">
        <v>893</v>
      </c>
      <c r="Y142" t="n">
        <v>0</v>
      </c>
      <c r="Z142" t="n">
        <v>0</v>
      </c>
    </row>
    <row r="143">
      <c r="A143" t="inlineStr">
        <is>
          <t>M3</t>
        </is>
      </c>
      <c r="B143" t="inlineStr">
        <is>
          <t>E4</t>
        </is>
      </c>
      <c r="C143" t="n">
        <v>6</v>
      </c>
      <c r="D143" t="inlineStr">
        <is>
          <t>2026-05-03 17:48:52</t>
        </is>
      </c>
      <c r="E143" t="n">
        <v>150.8018</v>
      </c>
      <c r="F143" t="n">
        <v>103.212927</v>
      </c>
      <c r="G143" t="n">
        <v>0.9062</v>
      </c>
      <c r="H143" t="n">
        <v>3.908663</v>
      </c>
      <c r="I143" t="n">
        <v>3.2905</v>
      </c>
      <c r="J143" t="n">
        <v>1.060635</v>
      </c>
      <c r="K143" t="n">
        <v>3.43105</v>
      </c>
      <c r="L143" t="n">
        <v>0.684926</v>
      </c>
      <c r="M143" t="n">
        <v>0.45</v>
      </c>
      <c r="N143" t="n">
        <v>1.7014</v>
      </c>
      <c r="O143" t="n">
        <v>0.278565</v>
      </c>
      <c r="P143" t="n">
        <v>10.4702</v>
      </c>
      <c r="Q143" t="n">
        <v>0.582041</v>
      </c>
      <c r="R143" t="n">
        <v>83.732</v>
      </c>
      <c r="S143" t="n">
        <v>14.3802</v>
      </c>
      <c r="T143" t="n">
        <v>0</v>
      </c>
      <c r="U143" t="n">
        <v>0</v>
      </c>
      <c r="V143" t="n">
        <v>0</v>
      </c>
      <c r="W143" t="n">
        <v>0.684428</v>
      </c>
      <c r="X143" t="n">
        <v>739</v>
      </c>
      <c r="Y143" t="n">
        <v>0</v>
      </c>
      <c r="Z143" t="n">
        <v>0</v>
      </c>
    </row>
    <row r="144">
      <c r="A144" t="inlineStr">
        <is>
          <t>M3</t>
        </is>
      </c>
      <c r="B144" t="inlineStr">
        <is>
          <t>E4</t>
        </is>
      </c>
      <c r="C144" t="n">
        <v>7</v>
      </c>
      <c r="D144" t="inlineStr">
        <is>
          <t>2026-05-03 17:54:49</t>
        </is>
      </c>
      <c r="E144" t="n">
        <v>176.9973</v>
      </c>
      <c r="F144" t="n">
        <v>104.086421</v>
      </c>
      <c r="G144" t="n">
        <v>0.9347</v>
      </c>
      <c r="H144" t="n">
        <v>3.39065</v>
      </c>
      <c r="I144" t="n">
        <v>2.71785</v>
      </c>
      <c r="J144" t="n">
        <v>1.0566</v>
      </c>
      <c r="K144" t="n">
        <v>1.7631</v>
      </c>
      <c r="L144" t="n">
        <v>0.5933619999999999</v>
      </c>
      <c r="M144" t="n">
        <v>0.45</v>
      </c>
      <c r="N144" t="n">
        <v>1.8263</v>
      </c>
      <c r="O144" t="n">
        <v>0.249178</v>
      </c>
      <c r="P144" t="n">
        <v>12.79</v>
      </c>
      <c r="Q144" t="n">
        <v>0.616416</v>
      </c>
      <c r="R144" t="n">
        <v>129.7965</v>
      </c>
      <c r="S144" t="n">
        <v>16.2157</v>
      </c>
      <c r="T144" t="n">
        <v>0</v>
      </c>
      <c r="U144" t="n">
        <v>0</v>
      </c>
      <c r="V144" t="n">
        <v>0</v>
      </c>
      <c r="W144" t="n">
        <v>0.588068</v>
      </c>
      <c r="X144" t="n">
        <v>850</v>
      </c>
      <c r="Y144" t="n">
        <v>0</v>
      </c>
      <c r="Z144" t="n">
        <v>0</v>
      </c>
    </row>
    <row r="145">
      <c r="A145" t="inlineStr">
        <is>
          <t>M3</t>
        </is>
      </c>
      <c r="B145" t="inlineStr">
        <is>
          <t>E4</t>
        </is>
      </c>
      <c r="C145" t="n">
        <v>8</v>
      </c>
      <c r="D145" t="inlineStr">
        <is>
          <t>2026-05-03 17:57:50</t>
        </is>
      </c>
      <c r="E145" t="n">
        <v>148.2566</v>
      </c>
      <c r="F145" t="n">
        <v>103.370747</v>
      </c>
      <c r="G145" t="n">
        <v>0.9337</v>
      </c>
      <c r="H145" t="n">
        <v>3.990934</v>
      </c>
      <c r="I145" t="n">
        <v>3.3709</v>
      </c>
      <c r="J145" t="n">
        <v>1.06267</v>
      </c>
      <c r="K145" t="n">
        <v>3.40405</v>
      </c>
      <c r="L145" t="n">
        <v>0.697649</v>
      </c>
      <c r="M145" t="n">
        <v>0.45</v>
      </c>
      <c r="N145" t="n">
        <v>2.2167</v>
      </c>
      <c r="O145" t="n">
        <v>0.279871</v>
      </c>
      <c r="P145" t="n">
        <v>19.3292</v>
      </c>
      <c r="Q145" t="n">
        <v>0.857537</v>
      </c>
      <c r="R145" t="n">
        <v>79.5547</v>
      </c>
      <c r="S145" t="n">
        <v>11.778</v>
      </c>
      <c r="T145" t="n">
        <v>0</v>
      </c>
      <c r="U145" t="n">
        <v>0</v>
      </c>
      <c r="V145" t="n">
        <v>0</v>
      </c>
      <c r="W145" t="n">
        <v>0.697242</v>
      </c>
      <c r="X145" t="n">
        <v>729</v>
      </c>
      <c r="Y145" t="n">
        <v>0</v>
      </c>
      <c r="Z145" t="n">
        <v>0</v>
      </c>
    </row>
    <row r="146">
      <c r="A146" t="inlineStr">
        <is>
          <t>M3</t>
        </is>
      </c>
      <c r="B146" t="inlineStr">
        <is>
          <t>E4</t>
        </is>
      </c>
      <c r="C146" t="n">
        <v>9</v>
      </c>
      <c r="D146" t="inlineStr">
        <is>
          <t>2026-05-03 18:00:57</t>
        </is>
      </c>
      <c r="E146" t="n">
        <v>148.1497</v>
      </c>
      <c r="F146" t="n">
        <v>97.400361</v>
      </c>
      <c r="G146" t="n">
        <v>0.9777</v>
      </c>
      <c r="H146" t="n">
        <v>3.699417</v>
      </c>
      <c r="I146" t="n">
        <v>3.1642</v>
      </c>
      <c r="J146" t="n">
        <v>1.37954</v>
      </c>
      <c r="K146" t="n">
        <v>1.66905</v>
      </c>
      <c r="L146" t="n">
        <v>0.662531</v>
      </c>
      <c r="M146" t="n">
        <v>0.45</v>
      </c>
      <c r="N146" t="n">
        <v>1</v>
      </c>
      <c r="O146" t="n">
        <v>0.265372</v>
      </c>
      <c r="P146" t="n">
        <v>4.0169</v>
      </c>
      <c r="Q146" t="n">
        <v>0.504328</v>
      </c>
      <c r="R146" t="n">
        <v>90.85850000000001</v>
      </c>
      <c r="S146" t="n">
        <v>3.2102</v>
      </c>
      <c r="T146" t="n">
        <v>0</v>
      </c>
      <c r="U146" t="n">
        <v>0</v>
      </c>
      <c r="V146" t="n">
        <v>0</v>
      </c>
      <c r="W146" t="n">
        <v>0.657446</v>
      </c>
      <c r="X146" t="n">
        <v>767</v>
      </c>
      <c r="Y146" t="n">
        <v>0</v>
      </c>
      <c r="Z146" t="n">
        <v>0</v>
      </c>
    </row>
    <row r="147">
      <c r="A147" t="inlineStr">
        <is>
          <t>M3</t>
        </is>
      </c>
      <c r="B147" t="inlineStr">
        <is>
          <t>E4</t>
        </is>
      </c>
      <c r="C147" t="n">
        <v>10</v>
      </c>
      <c r="D147" t="inlineStr">
        <is>
          <t>2026-05-03 18:08:58</t>
        </is>
      </c>
      <c r="E147" t="n">
        <v>144.02</v>
      </c>
      <c r="F147" t="n">
        <v>98.782758</v>
      </c>
      <c r="G147" t="n">
        <v>0.9661999999999999</v>
      </c>
      <c r="H147" t="n">
        <v>4.434152</v>
      </c>
      <c r="I147" t="n">
        <v>3.2452</v>
      </c>
      <c r="J147" t="n">
        <v>1.226825</v>
      </c>
      <c r="K147" t="n">
        <v>3.052925</v>
      </c>
      <c r="L147" t="n">
        <v>0.687264</v>
      </c>
      <c r="M147" t="n">
        <v>0.45</v>
      </c>
      <c r="N147" t="n">
        <v>1.0992</v>
      </c>
      <c r="O147" t="n">
        <v>0.271018</v>
      </c>
      <c r="P147" t="n">
        <v>8.2752</v>
      </c>
      <c r="Q147" t="n">
        <v>0.516447</v>
      </c>
      <c r="R147" t="n">
        <v>80.7829</v>
      </c>
      <c r="S147" t="n">
        <v>6.9315</v>
      </c>
      <c r="T147" t="n">
        <v>0</v>
      </c>
      <c r="U147" t="n">
        <v>0</v>
      </c>
      <c r="V147" t="n">
        <v>0</v>
      </c>
      <c r="W147" t="n">
        <v>0.685896</v>
      </c>
      <c r="X147" t="n">
        <v>705</v>
      </c>
      <c r="Y147" t="n">
        <v>0</v>
      </c>
      <c r="Z147" t="n">
        <v>0</v>
      </c>
    </row>
    <row r="148">
      <c r="A148" t="inlineStr">
        <is>
          <t>M4</t>
        </is>
      </c>
      <c r="B148" t="inlineStr">
        <is>
          <t>E1</t>
        </is>
      </c>
      <c r="C148" t="n">
        <v>1</v>
      </c>
      <c r="D148" t="inlineStr">
        <is>
          <t>2026-05-02 21:00:10</t>
        </is>
      </c>
      <c r="E148" t="n">
        <v>100.2457</v>
      </c>
      <c r="F148" t="n">
        <v>94.429266</v>
      </c>
      <c r="G148" t="n">
        <v>0.8804999999999999</v>
      </c>
      <c r="H148" t="n">
        <v>9.940566</v>
      </c>
      <c r="I148" t="n">
        <v>12</v>
      </c>
      <c r="J148" t="n">
        <v>1.61704</v>
      </c>
      <c r="K148" t="n">
        <v>3.0528</v>
      </c>
      <c r="L148" t="n">
        <v>0.948166</v>
      </c>
      <c r="M148" t="n">
        <v>1</v>
      </c>
      <c r="N148" t="n">
        <v>2.0458</v>
      </c>
      <c r="O148" t="n">
        <v>0.158074</v>
      </c>
      <c r="P148" t="n">
        <v>16.8602</v>
      </c>
      <c r="Q148" t="n">
        <v>0.902411</v>
      </c>
      <c r="R148" t="n">
        <v>12.6526</v>
      </c>
      <c r="S148" t="n">
        <v>3.3202</v>
      </c>
      <c r="T148" t="n">
        <v>0</v>
      </c>
      <c r="U148" t="n">
        <v>0</v>
      </c>
      <c r="V148" t="n">
        <v>0</v>
      </c>
      <c r="W148" t="n">
        <v>0.941978</v>
      </c>
      <c r="X148" t="n">
        <v>418</v>
      </c>
      <c r="Y148" t="n">
        <v>0</v>
      </c>
      <c r="Z148" t="n">
        <v>0</v>
      </c>
    </row>
    <row r="149">
      <c r="A149" t="inlineStr">
        <is>
          <t>M4</t>
        </is>
      </c>
      <c r="B149" t="inlineStr">
        <is>
          <t>E1</t>
        </is>
      </c>
      <c r="C149" t="n">
        <v>2</v>
      </c>
      <c r="D149" t="inlineStr">
        <is>
          <t>2026-05-02 21:02:26</t>
        </is>
      </c>
      <c r="E149" t="n">
        <v>106.4249</v>
      </c>
      <c r="F149" t="n">
        <v>97.830799</v>
      </c>
      <c r="G149" t="n">
        <v>0.7541</v>
      </c>
      <c r="H149" t="n">
        <v>9.464255</v>
      </c>
      <c r="I149" t="n">
        <v>12</v>
      </c>
      <c r="J149" t="n">
        <v>1.075855</v>
      </c>
      <c r="K149" t="n">
        <v>4.745425</v>
      </c>
      <c r="L149" t="n">
        <v>0.919564</v>
      </c>
      <c r="M149" t="n">
        <v>1</v>
      </c>
      <c r="N149" t="n">
        <v>2.0704</v>
      </c>
      <c r="O149" t="n">
        <v>0.200039</v>
      </c>
      <c r="P149" t="n">
        <v>17.6548</v>
      </c>
      <c r="Q149" t="n">
        <v>1.008827</v>
      </c>
      <c r="R149" t="n">
        <v>17.4845</v>
      </c>
      <c r="S149" t="n">
        <v>8.4636</v>
      </c>
      <c r="T149" t="n">
        <v>0</v>
      </c>
      <c r="U149" t="n">
        <v>0</v>
      </c>
      <c r="V149" t="n">
        <v>0</v>
      </c>
      <c r="W149" t="n">
        <v>0.919247</v>
      </c>
      <c r="X149" t="n">
        <v>363</v>
      </c>
      <c r="Y149" t="n">
        <v>0</v>
      </c>
      <c r="Z149" t="n">
        <v>0</v>
      </c>
    </row>
    <row r="150">
      <c r="A150" t="inlineStr">
        <is>
          <t>M4</t>
        </is>
      </c>
      <c r="B150" t="inlineStr">
        <is>
          <t>E1</t>
        </is>
      </c>
      <c r="C150" t="n">
        <v>3</v>
      </c>
      <c r="D150" t="inlineStr">
        <is>
          <t>2026-05-02 21:05:28</t>
        </is>
      </c>
      <c r="E150" t="n">
        <v>102.4559</v>
      </c>
      <c r="F150" t="n">
        <v>95.37899299999999</v>
      </c>
      <c r="G150" t="n">
        <v>0.8111</v>
      </c>
      <c r="H150" t="n">
        <v>9.675159000000001</v>
      </c>
      <c r="I150" t="n">
        <v>12</v>
      </c>
      <c r="J150" t="n">
        <v>1.12242</v>
      </c>
      <c r="K150" t="n">
        <v>4.0538</v>
      </c>
      <c r="L150" t="n">
        <v>0.931095</v>
      </c>
      <c r="M150" t="n">
        <v>1</v>
      </c>
      <c r="N150" t="n">
        <v>1.6173</v>
      </c>
      <c r="O150" t="n">
        <v>0.1783</v>
      </c>
      <c r="P150" t="n">
        <v>5.4832</v>
      </c>
      <c r="Q150" t="n">
        <v>0.499421</v>
      </c>
      <c r="R150" t="n">
        <v>14.9417</v>
      </c>
      <c r="S150" t="n">
        <v>5.579</v>
      </c>
      <c r="T150" t="n">
        <v>0</v>
      </c>
      <c r="U150" t="n">
        <v>0.3016</v>
      </c>
      <c r="V150" t="n">
        <v>1</v>
      </c>
      <c r="W150" t="n">
        <v>0.9309269999999999</v>
      </c>
      <c r="X150" t="n">
        <v>354</v>
      </c>
      <c r="Y150" t="n">
        <v>0</v>
      </c>
      <c r="Z150" t="n">
        <v>0</v>
      </c>
    </row>
    <row r="151">
      <c r="A151" t="inlineStr">
        <is>
          <t>M4</t>
        </is>
      </c>
      <c r="B151" t="inlineStr">
        <is>
          <t>E1</t>
        </is>
      </c>
      <c r="C151" t="n">
        <v>4</v>
      </c>
      <c r="D151" t="inlineStr">
        <is>
          <t>2026-05-02 21:07:34</t>
        </is>
      </c>
      <c r="E151" t="n">
        <v>100.3652</v>
      </c>
      <c r="F151" t="n">
        <v>94.385974</v>
      </c>
      <c r="G151" t="n">
        <v>0.8616</v>
      </c>
      <c r="H151" t="n">
        <v>9.832734</v>
      </c>
      <c r="I151" t="n">
        <v>12</v>
      </c>
      <c r="J151" t="n">
        <v>1.486515</v>
      </c>
      <c r="K151" t="n">
        <v>3.5772</v>
      </c>
      <c r="L151" t="n">
        <v>0.942627</v>
      </c>
      <c r="M151" t="n">
        <v>1</v>
      </c>
      <c r="N151" t="n">
        <v>1.7011</v>
      </c>
      <c r="O151" t="n">
        <v>0.162283</v>
      </c>
      <c r="P151" t="n">
        <v>6.7004</v>
      </c>
      <c r="Q151" t="n">
        <v>0.477721</v>
      </c>
      <c r="R151" t="n">
        <v>12.8865</v>
      </c>
      <c r="S151" t="n">
        <v>3.6102</v>
      </c>
      <c r="T151" t="n">
        <v>0</v>
      </c>
      <c r="U151" t="n">
        <v>0</v>
      </c>
      <c r="V151" t="n">
        <v>0</v>
      </c>
      <c r="W151" t="n">
        <v>0.940425</v>
      </c>
      <c r="X151" t="n">
        <v>339</v>
      </c>
      <c r="Y151" t="n">
        <v>0</v>
      </c>
      <c r="Z151" t="n">
        <v>0</v>
      </c>
    </row>
    <row r="152">
      <c r="A152" t="inlineStr">
        <is>
          <t>M4</t>
        </is>
      </c>
      <c r="B152" t="inlineStr">
        <is>
          <t>E1</t>
        </is>
      </c>
      <c r="C152" t="n">
        <v>5</v>
      </c>
      <c r="D152" t="inlineStr">
        <is>
          <t>2026-05-02 21:10:54</t>
        </is>
      </c>
      <c r="E152" t="n">
        <v>99.3544</v>
      </c>
      <c r="F152" t="n">
        <v>93.970859</v>
      </c>
      <c r="G152" t="n">
        <v>1.1832</v>
      </c>
      <c r="H152" t="n">
        <v>9.957067</v>
      </c>
      <c r="I152" t="n">
        <v>12</v>
      </c>
      <c r="J152" t="n">
        <v>1.80567</v>
      </c>
      <c r="K152" t="n">
        <v>3.023</v>
      </c>
      <c r="L152" t="n">
        <v>0.947335</v>
      </c>
      <c r="M152" t="n">
        <v>1</v>
      </c>
      <c r="N152" t="n">
        <v>1.1277</v>
      </c>
      <c r="O152" t="n">
        <v>0.14394</v>
      </c>
      <c r="P152" t="n">
        <v>3.3832</v>
      </c>
      <c r="Q152" t="n">
        <v>0.316094</v>
      </c>
      <c r="R152" t="n">
        <v>12.0814</v>
      </c>
      <c r="S152" t="n">
        <v>0.2853</v>
      </c>
      <c r="T152" t="n">
        <v>0</v>
      </c>
      <c r="U152" t="n">
        <v>0.2849</v>
      </c>
      <c r="V152" t="n">
        <v>1</v>
      </c>
      <c r="W152" t="n">
        <v>0.945815</v>
      </c>
      <c r="X152" t="n">
        <v>359</v>
      </c>
      <c r="Y152" t="n">
        <v>0</v>
      </c>
      <c r="Z152" t="n">
        <v>0</v>
      </c>
    </row>
    <row r="153">
      <c r="A153" t="inlineStr">
        <is>
          <t>M4</t>
        </is>
      </c>
      <c r="B153" t="inlineStr">
        <is>
          <t>E1</t>
        </is>
      </c>
      <c r="C153" t="n">
        <v>6</v>
      </c>
      <c r="D153" t="inlineStr">
        <is>
          <t>2026-05-02 21:14:50</t>
        </is>
      </c>
      <c r="E153" t="n">
        <v>101.8503</v>
      </c>
      <c r="F153" t="n">
        <v>95.35213</v>
      </c>
      <c r="G153" t="n">
        <v>0.7857</v>
      </c>
      <c r="H153" t="n">
        <v>9.742205999999999</v>
      </c>
      <c r="I153" t="n">
        <v>12</v>
      </c>
      <c r="J153" t="n">
        <v>1.28396</v>
      </c>
      <c r="K153" t="n">
        <v>3.83365</v>
      </c>
      <c r="L153" t="n">
        <v>0.938014</v>
      </c>
      <c r="M153" t="n">
        <v>1</v>
      </c>
      <c r="N153" t="n">
        <v>2.1012</v>
      </c>
      <c r="O153" t="n">
        <v>0.179927</v>
      </c>
      <c r="P153" t="n">
        <v>19.0061</v>
      </c>
      <c r="Q153" t="n">
        <v>1.102531</v>
      </c>
      <c r="R153" t="n">
        <v>13.8925</v>
      </c>
      <c r="S153" t="n">
        <v>4.9351</v>
      </c>
      <c r="T153" t="n">
        <v>0</v>
      </c>
      <c r="U153" t="n">
        <v>0.2987</v>
      </c>
      <c r="V153" t="n">
        <v>1</v>
      </c>
      <c r="W153" t="n">
        <v>0.936199</v>
      </c>
      <c r="X153" t="n">
        <v>332</v>
      </c>
      <c r="Y153" t="n">
        <v>0</v>
      </c>
      <c r="Z153" t="n">
        <v>0</v>
      </c>
    </row>
    <row r="154">
      <c r="A154" t="inlineStr">
        <is>
          <t>M4</t>
        </is>
      </c>
      <c r="B154" t="inlineStr">
        <is>
          <t>E1</t>
        </is>
      </c>
      <c r="C154" t="n">
        <v>7</v>
      </c>
      <c r="D154" t="inlineStr">
        <is>
          <t>2026-05-02 21:16:56</t>
        </is>
      </c>
      <c r="E154" t="n">
        <v>99.9937</v>
      </c>
      <c r="F154" t="n">
        <v>94.243853</v>
      </c>
      <c r="G154" t="n">
        <v>0.871</v>
      </c>
      <c r="H154" t="n">
        <v>9.931708</v>
      </c>
      <c r="I154" t="n">
        <v>12</v>
      </c>
      <c r="J154" t="n">
        <v>1.60848</v>
      </c>
      <c r="K154" t="n">
        <v>3.07555</v>
      </c>
      <c r="L154" t="n">
        <v>0.945736</v>
      </c>
      <c r="M154" t="n">
        <v>1</v>
      </c>
      <c r="N154" t="n">
        <v>1.3715</v>
      </c>
      <c r="O154" t="n">
        <v>0.152533</v>
      </c>
      <c r="P154" t="n">
        <v>5.8292</v>
      </c>
      <c r="Q154" t="n">
        <v>0.424622</v>
      </c>
      <c r="R154" t="n">
        <v>12.2163</v>
      </c>
      <c r="S154" t="n">
        <v>2.8253</v>
      </c>
      <c r="T154" t="n">
        <v>0</v>
      </c>
      <c r="U154" t="n">
        <v>0</v>
      </c>
      <c r="V154" t="n">
        <v>0</v>
      </c>
      <c r="W154" t="n">
        <v>0.9424979999999999</v>
      </c>
      <c r="X154" t="n">
        <v>328</v>
      </c>
      <c r="Y154" t="n">
        <v>0</v>
      </c>
      <c r="Z154" t="n">
        <v>0</v>
      </c>
    </row>
    <row r="155">
      <c r="A155" t="inlineStr">
        <is>
          <t>M4</t>
        </is>
      </c>
      <c r="B155" t="inlineStr">
        <is>
          <t>E1</t>
        </is>
      </c>
      <c r="C155" t="n">
        <v>8</v>
      </c>
      <c r="D155" t="inlineStr">
        <is>
          <t>2026-05-02 21:21:01</t>
        </is>
      </c>
      <c r="E155" t="n">
        <v>100.2257</v>
      </c>
      <c r="F155" t="n">
        <v>94.120234</v>
      </c>
      <c r="G155" t="n">
        <v>0.828</v>
      </c>
      <c r="H155" t="n">
        <v>9.881812</v>
      </c>
      <c r="I155" t="n">
        <v>12</v>
      </c>
      <c r="J155" t="n">
        <v>1.5483</v>
      </c>
      <c r="K155" t="n">
        <v>3.3317</v>
      </c>
      <c r="L155" t="n">
        <v>0.941851</v>
      </c>
      <c r="M155" t="n">
        <v>1</v>
      </c>
      <c r="N155" t="n">
        <v>1.281</v>
      </c>
      <c r="O155" t="n">
        <v>0.156148</v>
      </c>
      <c r="P155" t="n">
        <v>4.5233</v>
      </c>
      <c r="Q155" t="n">
        <v>0.3741</v>
      </c>
      <c r="R155" t="n">
        <v>12.8664</v>
      </c>
      <c r="S155" t="n">
        <v>3.3192</v>
      </c>
      <c r="T155" t="n">
        <v>0</v>
      </c>
      <c r="U155" t="n">
        <v>0</v>
      </c>
      <c r="V155" t="n">
        <v>0</v>
      </c>
      <c r="W155" t="n">
        <v>0.939083</v>
      </c>
      <c r="X155" t="n">
        <v>350</v>
      </c>
      <c r="Y155" t="n">
        <v>0</v>
      </c>
      <c r="Z155" t="n">
        <v>0</v>
      </c>
    </row>
    <row r="156">
      <c r="A156" t="inlineStr">
        <is>
          <t>M4</t>
        </is>
      </c>
      <c r="B156" t="inlineStr">
        <is>
          <t>E1</t>
        </is>
      </c>
      <c r="C156" t="n">
        <v>9</v>
      </c>
      <c r="D156" t="inlineStr">
        <is>
          <t>2026-05-02 21:25:07</t>
        </is>
      </c>
      <c r="E156" t="n">
        <v>102.1988</v>
      </c>
      <c r="F156" t="n">
        <v>95.500725</v>
      </c>
      <c r="G156" t="n">
        <v>0.7259</v>
      </c>
      <c r="H156" t="n">
        <v>9.69383</v>
      </c>
      <c r="I156" t="n">
        <v>12</v>
      </c>
      <c r="J156" t="n">
        <v>1.21444</v>
      </c>
      <c r="K156" t="n">
        <v>3.988175</v>
      </c>
      <c r="L156" t="n">
        <v>0.931181</v>
      </c>
      <c r="M156" t="n">
        <v>1</v>
      </c>
      <c r="N156" t="n">
        <v>1</v>
      </c>
      <c r="O156" t="n">
        <v>0.1698</v>
      </c>
      <c r="P156" t="n">
        <v>4.7807</v>
      </c>
      <c r="Q156" t="n">
        <v>0.406898</v>
      </c>
      <c r="R156" t="n">
        <v>13.7508</v>
      </c>
      <c r="S156" t="n">
        <v>4.7253</v>
      </c>
      <c r="T156" t="n">
        <v>0</v>
      </c>
      <c r="U156" t="n">
        <v>0</v>
      </c>
      <c r="V156" t="n">
        <v>0</v>
      </c>
      <c r="W156" t="n">
        <v>0.93446</v>
      </c>
      <c r="X156" t="n">
        <v>339</v>
      </c>
      <c r="Y156" t="n">
        <v>0</v>
      </c>
      <c r="Z156" t="n">
        <v>0</v>
      </c>
    </row>
    <row r="157">
      <c r="A157" t="inlineStr">
        <is>
          <t>M4</t>
        </is>
      </c>
      <c r="B157" t="inlineStr">
        <is>
          <t>E1</t>
        </is>
      </c>
      <c r="C157" t="n">
        <v>10</v>
      </c>
      <c r="D157" t="inlineStr">
        <is>
          <t>2026-05-02 21:27:26</t>
        </is>
      </c>
      <c r="E157" t="n">
        <v>102.059</v>
      </c>
      <c r="F157" t="n">
        <v>95.16757</v>
      </c>
      <c r="G157" t="n">
        <v>0.6895</v>
      </c>
      <c r="H157" t="n">
        <v>9.70153</v>
      </c>
      <c r="I157" t="n">
        <v>12</v>
      </c>
      <c r="J157" t="n">
        <v>1.209585</v>
      </c>
      <c r="K157" t="n">
        <v>3.973675</v>
      </c>
      <c r="L157" t="n">
        <v>0.935061</v>
      </c>
      <c r="M157" t="n">
        <v>1</v>
      </c>
      <c r="N157" t="n">
        <v>2.0657</v>
      </c>
      <c r="O157" t="n">
        <v>0.181957</v>
      </c>
      <c r="P157" t="n">
        <v>11.8157</v>
      </c>
      <c r="Q157" t="n">
        <v>0.729613</v>
      </c>
      <c r="R157" t="n">
        <v>14.2963</v>
      </c>
      <c r="S157" t="n">
        <v>5.3705</v>
      </c>
      <c r="T157" t="n">
        <v>0</v>
      </c>
      <c r="U157" t="n">
        <v>0.2934</v>
      </c>
      <c r="V157" t="n">
        <v>1</v>
      </c>
      <c r="W157" t="n">
        <v>0.932476</v>
      </c>
      <c r="X157" t="n">
        <v>357</v>
      </c>
      <c r="Y157" t="n">
        <v>0</v>
      </c>
      <c r="Z157" t="n">
        <v>0</v>
      </c>
    </row>
    <row r="158">
      <c r="A158" t="inlineStr">
        <is>
          <t>M4</t>
        </is>
      </c>
      <c r="B158" t="inlineStr">
        <is>
          <t>E2</t>
        </is>
      </c>
      <c r="C158" t="n">
        <v>1</v>
      </c>
      <c r="D158" t="inlineStr">
        <is>
          <t>2026-05-03 13:47:00</t>
        </is>
      </c>
      <c r="E158" t="n">
        <v>113.6132</v>
      </c>
      <c r="F158" t="n">
        <v>96.717478</v>
      </c>
      <c r="G158" t="n">
        <v>0.7972</v>
      </c>
      <c r="H158" t="n">
        <v>6.412075</v>
      </c>
      <c r="I158" t="n">
        <v>3.7256</v>
      </c>
      <c r="J158" t="n">
        <v>0.931055</v>
      </c>
      <c r="K158" t="n">
        <v>9.14195</v>
      </c>
      <c r="L158" t="n">
        <v>0.846647</v>
      </c>
      <c r="M158" t="n">
        <v>1</v>
      </c>
      <c r="N158" t="n">
        <v>1</v>
      </c>
      <c r="O158" t="n">
        <v>0.226771</v>
      </c>
      <c r="P158" t="n">
        <v>4.6377</v>
      </c>
      <c r="Q158" t="n">
        <v>0.628652</v>
      </c>
      <c r="R158" t="n">
        <v>33.0339</v>
      </c>
      <c r="S158" t="n">
        <v>15.2146</v>
      </c>
      <c r="T158" t="n">
        <v>0</v>
      </c>
      <c r="U158" t="n">
        <v>0</v>
      </c>
      <c r="V158" t="n">
        <v>0</v>
      </c>
      <c r="W158" t="n">
        <v>0.851287</v>
      </c>
      <c r="X158" t="n">
        <v>763</v>
      </c>
      <c r="Y158" t="n">
        <v>0</v>
      </c>
      <c r="Z158" t="n">
        <v>0</v>
      </c>
    </row>
    <row r="159">
      <c r="A159" t="inlineStr">
        <is>
          <t>M4</t>
        </is>
      </c>
      <c r="B159" t="inlineStr">
        <is>
          <t>E2</t>
        </is>
      </c>
      <c r="C159" t="n">
        <v>2</v>
      </c>
      <c r="D159" t="inlineStr">
        <is>
          <t>2026-05-03 13:50:03</t>
        </is>
      </c>
      <c r="E159" t="n">
        <v>114.598</v>
      </c>
      <c r="F159" t="n">
        <v>96.27993499999999</v>
      </c>
      <c r="G159" t="n">
        <v>0.7738</v>
      </c>
      <c r="H159" t="n">
        <v>6.28217</v>
      </c>
      <c r="I159" t="n">
        <v>3.71875</v>
      </c>
      <c r="J159" t="n">
        <v>0.93588</v>
      </c>
      <c r="K159" t="n">
        <v>9.9161</v>
      </c>
      <c r="L159" t="n">
        <v>0.833873</v>
      </c>
      <c r="M159" t="n">
        <v>1</v>
      </c>
      <c r="N159" t="n">
        <v>1.1531</v>
      </c>
      <c r="O159" t="n">
        <v>0.232375</v>
      </c>
      <c r="P159" t="n">
        <v>8.127700000000001</v>
      </c>
      <c r="Q159" t="n">
        <v>0.664023</v>
      </c>
      <c r="R159" t="n">
        <v>37.5226</v>
      </c>
      <c r="S159" t="n">
        <v>15.4384</v>
      </c>
      <c r="T159" t="n">
        <v>0</v>
      </c>
      <c r="U159" t="n">
        <v>0</v>
      </c>
      <c r="V159" t="n">
        <v>0</v>
      </c>
      <c r="W159" t="n">
        <v>0.840154</v>
      </c>
      <c r="X159" t="n">
        <v>826</v>
      </c>
      <c r="Y159" t="n">
        <v>0</v>
      </c>
      <c r="Z159" t="n">
        <v>0</v>
      </c>
    </row>
    <row r="160">
      <c r="A160" t="inlineStr">
        <is>
          <t>M4</t>
        </is>
      </c>
      <c r="B160" t="inlineStr">
        <is>
          <t>E2</t>
        </is>
      </c>
      <c r="C160" t="n">
        <v>3</v>
      </c>
      <c r="D160" t="inlineStr">
        <is>
          <t>2026-05-03 13:56:36</t>
        </is>
      </c>
      <c r="E160" t="n">
        <v>112.5101</v>
      </c>
      <c r="F160" t="n">
        <v>96.53367900000001</v>
      </c>
      <c r="G160" t="n">
        <v>0.8102</v>
      </c>
      <c r="H160" t="n">
        <v>6.486282</v>
      </c>
      <c r="I160" t="n">
        <v>3.74065</v>
      </c>
      <c r="J160" t="n">
        <v>0.9356</v>
      </c>
      <c r="K160" t="n">
        <v>9.1416</v>
      </c>
      <c r="L160" t="n">
        <v>0.851931</v>
      </c>
      <c r="M160" t="n">
        <v>1</v>
      </c>
      <c r="N160" t="n">
        <v>1.477</v>
      </c>
      <c r="O160" t="n">
        <v>0.23186</v>
      </c>
      <c r="P160" t="n">
        <v>9.884</v>
      </c>
      <c r="Q160" t="n">
        <v>0.760267</v>
      </c>
      <c r="R160" t="n">
        <v>32.2774</v>
      </c>
      <c r="S160" t="n">
        <v>13.8235</v>
      </c>
      <c r="T160" t="n">
        <v>0</v>
      </c>
      <c r="U160" t="n">
        <v>0</v>
      </c>
      <c r="V160" t="n">
        <v>0</v>
      </c>
      <c r="W160" t="n">
        <v>0.858</v>
      </c>
      <c r="X160" t="n">
        <v>790</v>
      </c>
      <c r="Y160" t="n">
        <v>0</v>
      </c>
      <c r="Z160" t="n">
        <v>0</v>
      </c>
    </row>
    <row r="161">
      <c r="A161" t="inlineStr">
        <is>
          <t>M4</t>
        </is>
      </c>
      <c r="B161" t="inlineStr">
        <is>
          <t>E2</t>
        </is>
      </c>
      <c r="C161" t="n">
        <v>4</v>
      </c>
      <c r="D161" t="inlineStr">
        <is>
          <t>2026-05-03 14:00:12</t>
        </is>
      </c>
      <c r="E161" t="n">
        <v>118.722</v>
      </c>
      <c r="F161" t="n">
        <v>98.717647</v>
      </c>
      <c r="G161" t="n">
        <v>0.782</v>
      </c>
      <c r="H161" t="n">
        <v>5.974078</v>
      </c>
      <c r="I161" t="n">
        <v>3.718</v>
      </c>
      <c r="J161" t="n">
        <v>0.93362</v>
      </c>
      <c r="K161" t="n">
        <v>9.76445</v>
      </c>
      <c r="L161" t="n">
        <v>0.824651</v>
      </c>
      <c r="M161" t="n">
        <v>1</v>
      </c>
      <c r="N161" t="n">
        <v>1.4378</v>
      </c>
      <c r="O161" t="n">
        <v>0.240025</v>
      </c>
      <c r="P161" t="n">
        <v>9.0581</v>
      </c>
      <c r="Q161" t="n">
        <v>0.769257</v>
      </c>
      <c r="R161" t="n">
        <v>40.7086</v>
      </c>
      <c r="S161" t="n">
        <v>19.1003</v>
      </c>
      <c r="T161" t="n">
        <v>0</v>
      </c>
      <c r="U161" t="n">
        <v>0</v>
      </c>
      <c r="V161" t="n">
        <v>0</v>
      </c>
      <c r="W161" t="n">
        <v>0.831503</v>
      </c>
      <c r="X161" t="n">
        <v>827</v>
      </c>
      <c r="Y161" t="n">
        <v>0</v>
      </c>
      <c r="Z161" t="n">
        <v>0</v>
      </c>
    </row>
    <row r="162">
      <c r="A162" t="inlineStr">
        <is>
          <t>M4</t>
        </is>
      </c>
      <c r="B162" t="inlineStr">
        <is>
          <t>E2</t>
        </is>
      </c>
      <c r="C162" t="n">
        <v>5</v>
      </c>
      <c r="D162" t="inlineStr">
        <is>
          <t>2026-05-03 14:02:48</t>
        </is>
      </c>
      <c r="E162" t="n">
        <v>121.02</v>
      </c>
      <c r="F162" t="n">
        <v>96.666301</v>
      </c>
      <c r="G162" t="n">
        <v>0.7971</v>
      </c>
      <c r="H162" t="n">
        <v>5.988146</v>
      </c>
      <c r="I162" t="n">
        <v>4.6929</v>
      </c>
      <c r="J162" t="n">
        <v>0.947935</v>
      </c>
      <c r="K162" t="n">
        <v>10.278775</v>
      </c>
      <c r="L162" t="n">
        <v>0.803003</v>
      </c>
      <c r="M162" t="n">
        <v>1</v>
      </c>
      <c r="N162" t="n">
        <v>2.2459</v>
      </c>
      <c r="O162" t="n">
        <v>0.248093</v>
      </c>
      <c r="P162" t="n">
        <v>18.5898</v>
      </c>
      <c r="Q162" t="n">
        <v>0.92417</v>
      </c>
      <c r="R162" t="n">
        <v>50.4439</v>
      </c>
      <c r="S162" t="n">
        <v>22.0625</v>
      </c>
      <c r="T162" t="n">
        <v>0</v>
      </c>
      <c r="U162" t="n">
        <v>0.1601</v>
      </c>
      <c r="V162" t="n">
        <v>1</v>
      </c>
      <c r="W162" t="n">
        <v>0.798763</v>
      </c>
      <c r="X162" t="n">
        <v>799</v>
      </c>
      <c r="Y162" t="n">
        <v>0</v>
      </c>
      <c r="Z162" t="n">
        <v>0</v>
      </c>
    </row>
    <row r="163">
      <c r="A163" t="inlineStr">
        <is>
          <t>M4</t>
        </is>
      </c>
      <c r="B163" t="inlineStr">
        <is>
          <t>E2</t>
        </is>
      </c>
      <c r="C163" t="n">
        <v>6</v>
      </c>
      <c r="D163" t="inlineStr">
        <is>
          <t>2026-05-03 14:05:16</t>
        </is>
      </c>
      <c r="E163" t="n">
        <v>97.8865</v>
      </c>
      <c r="F163" t="n">
        <v>94.59015100000001</v>
      </c>
      <c r="G163" t="n">
        <v>0.7864</v>
      </c>
      <c r="H163" t="n">
        <v>5.250748</v>
      </c>
      <c r="I163" t="n">
        <v>5.1055</v>
      </c>
      <c r="J163" t="n">
        <v>2.12155</v>
      </c>
      <c r="K163" t="n">
        <v>0.78225</v>
      </c>
      <c r="L163" t="n">
        <v>0.968863</v>
      </c>
      <c r="M163" t="n">
        <v>1</v>
      </c>
      <c r="N163" t="n">
        <v>2.1174</v>
      </c>
      <c r="O163" t="n">
        <v>0.141151</v>
      </c>
      <c r="P163" t="n">
        <v>16.093</v>
      </c>
      <c r="Q163" t="n">
        <v>0.78892</v>
      </c>
      <c r="R163" t="n">
        <v>5.9257</v>
      </c>
      <c r="S163" t="n">
        <v>4.128</v>
      </c>
      <c r="T163" t="n">
        <v>0</v>
      </c>
      <c r="U163" t="n">
        <v>0</v>
      </c>
      <c r="V163" t="n">
        <v>0</v>
      </c>
      <c r="W163" t="n">
        <v>0.966325</v>
      </c>
      <c r="X163" t="n">
        <v>664</v>
      </c>
      <c r="Y163" t="n">
        <v>0</v>
      </c>
      <c r="Z163" t="n">
        <v>0</v>
      </c>
    </row>
    <row r="164">
      <c r="A164" t="inlineStr">
        <is>
          <t>M4</t>
        </is>
      </c>
      <c r="B164" t="inlineStr">
        <is>
          <t>E2</t>
        </is>
      </c>
      <c r="C164" t="n">
        <v>7</v>
      </c>
      <c r="D164" t="inlineStr">
        <is>
          <t>2026-05-03 14:07:58</t>
        </is>
      </c>
      <c r="E164" t="n">
        <v>116.9858</v>
      </c>
      <c r="F164" t="n">
        <v>95.879921</v>
      </c>
      <c r="G164" t="n">
        <v>0.7806</v>
      </c>
      <c r="H164" t="n">
        <v>6.091522</v>
      </c>
      <c r="I164" t="n">
        <v>3.94225</v>
      </c>
      <c r="J164" t="n">
        <v>0.93344</v>
      </c>
      <c r="K164" t="n">
        <v>9.515499999999999</v>
      </c>
      <c r="L164" t="n">
        <v>0.823035</v>
      </c>
      <c r="M164" t="n">
        <v>1</v>
      </c>
      <c r="N164" t="n">
        <v>2.333</v>
      </c>
      <c r="O164" t="n">
        <v>0.236896</v>
      </c>
      <c r="P164" t="n">
        <v>14.582</v>
      </c>
      <c r="Q164" t="n">
        <v>0.892611</v>
      </c>
      <c r="R164" t="n">
        <v>42.1733</v>
      </c>
      <c r="S164" t="n">
        <v>15.2748</v>
      </c>
      <c r="T164" t="n">
        <v>0</v>
      </c>
      <c r="U164" t="n">
        <v>0</v>
      </c>
      <c r="V164" t="n">
        <v>0</v>
      </c>
      <c r="W164" t="n">
        <v>0.819586</v>
      </c>
      <c r="X164" t="n">
        <v>802</v>
      </c>
      <c r="Y164" t="n">
        <v>0</v>
      </c>
      <c r="Z164" t="n">
        <v>0</v>
      </c>
    </row>
    <row r="165">
      <c r="A165" t="inlineStr">
        <is>
          <t>M4</t>
        </is>
      </c>
      <c r="B165" t="inlineStr">
        <is>
          <t>E2</t>
        </is>
      </c>
      <c r="C165" t="n">
        <v>8</v>
      </c>
      <c r="D165" t="inlineStr">
        <is>
          <t>2026-05-03 14:10:34</t>
        </is>
      </c>
      <c r="E165" t="n">
        <v>116.0729</v>
      </c>
      <c r="F165" t="n">
        <v>96.42782200000001</v>
      </c>
      <c r="G165" t="n">
        <v>0.7982</v>
      </c>
      <c r="H165" t="n">
        <v>6.496023</v>
      </c>
      <c r="I165" t="n">
        <v>5.01465</v>
      </c>
      <c r="J165" t="n">
        <v>0.9595</v>
      </c>
      <c r="K165" t="n">
        <v>9.732799999999999</v>
      </c>
      <c r="L165" t="n">
        <v>0.835243</v>
      </c>
      <c r="M165" t="n">
        <v>1</v>
      </c>
      <c r="N165" t="n">
        <v>1.9951</v>
      </c>
      <c r="O165" t="n">
        <v>0.233198</v>
      </c>
      <c r="P165" t="n">
        <v>15.1338</v>
      </c>
      <c r="Q165" t="n">
        <v>0.795475</v>
      </c>
      <c r="R165" t="n">
        <v>39.5899</v>
      </c>
      <c r="S165" t="n">
        <v>16.2008</v>
      </c>
      <c r="T165" t="n">
        <v>0</v>
      </c>
      <c r="U165" t="n">
        <v>0.1519</v>
      </c>
      <c r="V165" t="n">
        <v>1</v>
      </c>
      <c r="W165" t="n">
        <v>0.830752</v>
      </c>
      <c r="X165" t="n">
        <v>730</v>
      </c>
      <c r="Y165" t="n">
        <v>0</v>
      </c>
      <c r="Z165" t="n">
        <v>0</v>
      </c>
    </row>
    <row r="166">
      <c r="A166" t="inlineStr">
        <is>
          <t>M4</t>
        </is>
      </c>
      <c r="B166" t="inlineStr">
        <is>
          <t>E2</t>
        </is>
      </c>
      <c r="C166" t="n">
        <v>9</v>
      </c>
      <c r="D166" t="inlineStr">
        <is>
          <t>2026-05-03 14:12:58</t>
        </is>
      </c>
      <c r="E166" t="n">
        <v>110.3581</v>
      </c>
      <c r="F166" t="n">
        <v>95.62933</v>
      </c>
      <c r="G166" t="n">
        <v>0.7876</v>
      </c>
      <c r="H166" t="n">
        <v>6.904541</v>
      </c>
      <c r="I166" t="n">
        <v>6.20065</v>
      </c>
      <c r="J166" t="n">
        <v>0.98162</v>
      </c>
      <c r="K166" t="n">
        <v>8.596399999999999</v>
      </c>
      <c r="L166" t="n">
        <v>0.869928</v>
      </c>
      <c r="M166" t="n">
        <v>1</v>
      </c>
      <c r="N166" t="n">
        <v>2.0642</v>
      </c>
      <c r="O166" t="n">
        <v>0.225461</v>
      </c>
      <c r="P166" t="n">
        <v>11.8258</v>
      </c>
      <c r="Q166" t="n">
        <v>0.689178</v>
      </c>
      <c r="R166" t="n">
        <v>29.3786</v>
      </c>
      <c r="S166" t="n">
        <v>13.8646</v>
      </c>
      <c r="T166" t="n">
        <v>0</v>
      </c>
      <c r="U166" t="n">
        <v>0</v>
      </c>
      <c r="V166" t="n">
        <v>0</v>
      </c>
      <c r="W166" t="n">
        <v>0.866537</v>
      </c>
      <c r="X166" t="n">
        <v>698</v>
      </c>
      <c r="Y166" t="n">
        <v>0</v>
      </c>
      <c r="Z166" t="n">
        <v>0</v>
      </c>
    </row>
    <row r="167">
      <c r="A167" t="inlineStr">
        <is>
          <t>M4</t>
        </is>
      </c>
      <c r="B167" t="inlineStr">
        <is>
          <t>E2</t>
        </is>
      </c>
      <c r="C167" t="n">
        <v>10</v>
      </c>
      <c r="D167" t="inlineStr">
        <is>
          <t>2026-05-03 14:15:46</t>
        </is>
      </c>
      <c r="E167" t="n">
        <v>133.6512</v>
      </c>
      <c r="F167" t="n">
        <v>95.892224</v>
      </c>
      <c r="G167" t="n">
        <v>0.8947000000000001</v>
      </c>
      <c r="H167" t="n">
        <v>4.166968</v>
      </c>
      <c r="I167" t="n">
        <v>2.6647</v>
      </c>
      <c r="J167" t="n">
        <v>0.991265</v>
      </c>
      <c r="K167" t="n">
        <v>5.740975</v>
      </c>
      <c r="L167" t="n">
        <v>0.722777</v>
      </c>
      <c r="M167" t="n">
        <v>0.6075</v>
      </c>
      <c r="N167" t="n">
        <v>1.6126</v>
      </c>
      <c r="O167" t="n">
        <v>0.22614</v>
      </c>
      <c r="P167" t="n">
        <v>10.3216</v>
      </c>
      <c r="Q167" t="n">
        <v>0.553889</v>
      </c>
      <c r="R167" t="n">
        <v>84.13079999999999</v>
      </c>
      <c r="S167" t="n">
        <v>13.8475</v>
      </c>
      <c r="T167" t="n">
        <v>0</v>
      </c>
      <c r="U167" t="n">
        <v>0</v>
      </c>
      <c r="V167" t="n">
        <v>0</v>
      </c>
      <c r="W167" t="n">
        <v>0.717481</v>
      </c>
      <c r="X167" t="n">
        <v>841</v>
      </c>
      <c r="Y167" t="n">
        <v>0</v>
      </c>
      <c r="Z167" t="n">
        <v>0</v>
      </c>
    </row>
    <row r="168">
      <c r="A168" t="inlineStr">
        <is>
          <t>M4</t>
        </is>
      </c>
      <c r="B168" t="inlineStr">
        <is>
          <t>E3</t>
        </is>
      </c>
      <c r="C168" t="n">
        <v>1</v>
      </c>
      <c r="D168" t="inlineStr">
        <is>
          <t>2026-05-03 16:29:26</t>
        </is>
      </c>
      <c r="E168" t="n">
        <v>72.9966</v>
      </c>
      <c r="F168" t="n">
        <v>51.53522</v>
      </c>
      <c r="G168" t="n">
        <v>1.2684</v>
      </c>
      <c r="H168" t="n">
        <v>4.652161</v>
      </c>
      <c r="I168" t="n">
        <v>2.0131</v>
      </c>
      <c r="J168" t="n">
        <v>1.292475</v>
      </c>
      <c r="K168" t="n">
        <v>7.4157</v>
      </c>
      <c r="L168" t="n">
        <v>0.69974</v>
      </c>
      <c r="M168" t="n">
        <v>0.6075</v>
      </c>
      <c r="N168" t="n">
        <v>1.5329</v>
      </c>
      <c r="O168" t="n">
        <v>0.237887</v>
      </c>
      <c r="P168" t="n">
        <v>9.674799999999999</v>
      </c>
      <c r="Q168" t="n">
        <v>0.662249</v>
      </c>
      <c r="R168" t="n">
        <v>44.9141</v>
      </c>
      <c r="S168" t="n">
        <v>0</v>
      </c>
      <c r="T168" t="n">
        <v>0</v>
      </c>
      <c r="U168" t="n">
        <v>0.1483</v>
      </c>
      <c r="V168" t="n">
        <v>1</v>
      </c>
      <c r="W168" t="n">
        <v>0.705995</v>
      </c>
      <c r="X168" t="n">
        <v>493</v>
      </c>
      <c r="Y168" t="n">
        <v>0</v>
      </c>
      <c r="Z168" t="n">
        <v>0</v>
      </c>
    </row>
    <row r="169">
      <c r="A169" t="inlineStr">
        <is>
          <t>M4</t>
        </is>
      </c>
      <c r="B169" t="inlineStr">
        <is>
          <t>E3</t>
        </is>
      </c>
      <c r="C169" t="n">
        <v>2</v>
      </c>
      <c r="D169" t="inlineStr">
        <is>
          <t>2026-05-03 16:32:22</t>
        </is>
      </c>
      <c r="E169" t="n">
        <v>154.8</v>
      </c>
      <c r="F169" t="n">
        <v>94.32417700000001</v>
      </c>
      <c r="G169" t="n">
        <v>1.0965</v>
      </c>
      <c r="H169" t="n">
        <v>2.740102</v>
      </c>
      <c r="I169" t="n">
        <v>1.3154</v>
      </c>
      <c r="J169" t="n">
        <v>1.293915</v>
      </c>
      <c r="K169" t="n">
        <v>1.150775</v>
      </c>
      <c r="L169" t="n">
        <v>0.612704</v>
      </c>
      <c r="M169" t="n">
        <v>0.6009</v>
      </c>
      <c r="N169" t="n">
        <v>1.3125</v>
      </c>
      <c r="O169" t="n">
        <v>0.190454</v>
      </c>
      <c r="P169" t="n">
        <v>6.6166</v>
      </c>
      <c r="Q169" t="n">
        <v>0.529291</v>
      </c>
      <c r="R169" t="n">
        <v>128.1435</v>
      </c>
      <c r="S169" t="n">
        <v>1.1615</v>
      </c>
      <c r="T169" t="n">
        <v>0</v>
      </c>
      <c r="U169" t="n">
        <v>0</v>
      </c>
      <c r="V169" t="n">
        <v>0</v>
      </c>
      <c r="W169" t="n">
        <v>0.609329</v>
      </c>
      <c r="X169" t="n">
        <v>1013</v>
      </c>
      <c r="Y169" t="n">
        <v>0</v>
      </c>
      <c r="Z169" t="n">
        <v>0</v>
      </c>
    </row>
    <row r="170">
      <c r="A170" t="inlineStr">
        <is>
          <t>M4</t>
        </is>
      </c>
      <c r="B170" t="inlineStr">
        <is>
          <t>E3</t>
        </is>
      </c>
      <c r="C170" t="n">
        <v>3</v>
      </c>
      <c r="D170" t="inlineStr">
        <is>
          <t>2026-05-03 16:34:05</t>
        </is>
      </c>
      <c r="E170" t="n">
        <v>70.94280000000001</v>
      </c>
      <c r="F170" t="n">
        <v>48.831207</v>
      </c>
      <c r="G170" t="n">
        <v>0.7948</v>
      </c>
      <c r="H170" t="n">
        <v>3.892594</v>
      </c>
      <c r="I170" t="n">
        <v>3.5963</v>
      </c>
      <c r="J170" t="n">
        <v>1.33836</v>
      </c>
      <c r="K170" t="n">
        <v>1.118</v>
      </c>
      <c r="L170" t="n">
        <v>0.6877799999999999</v>
      </c>
      <c r="M170" t="n">
        <v>0.6075</v>
      </c>
      <c r="N170" t="n">
        <v>1.3351</v>
      </c>
      <c r="O170" t="n">
        <v>0.169198</v>
      </c>
      <c r="P170" t="n">
        <v>10.45</v>
      </c>
      <c r="Q170" t="n">
        <v>0.929848</v>
      </c>
      <c r="R170" t="n">
        <v>35.2803</v>
      </c>
      <c r="S170" t="n">
        <v>3.2723</v>
      </c>
      <c r="T170" t="n">
        <v>0</v>
      </c>
      <c r="U170" t="n">
        <v>0</v>
      </c>
      <c r="V170" t="n">
        <v>0</v>
      </c>
      <c r="W170" t="n">
        <v>0.688318</v>
      </c>
      <c r="X170" t="n">
        <v>466</v>
      </c>
      <c r="Y170" t="n">
        <v>0</v>
      </c>
      <c r="Z170" t="n">
        <v>0</v>
      </c>
    </row>
    <row r="171">
      <c r="A171" t="inlineStr">
        <is>
          <t>M4</t>
        </is>
      </c>
      <c r="B171" t="inlineStr">
        <is>
          <t>E3</t>
        </is>
      </c>
      <c r="C171" t="n">
        <v>4</v>
      </c>
      <c r="D171" t="inlineStr">
        <is>
          <t>2026-05-03 16:35:24</t>
        </is>
      </c>
      <c r="E171" t="n">
        <v>57.7558</v>
      </c>
      <c r="F171" t="n">
        <v>42.819215</v>
      </c>
      <c r="G171" t="n">
        <v>0.8070000000000001</v>
      </c>
      <c r="H171" t="n">
        <v>3.373075</v>
      </c>
      <c r="I171" t="n">
        <v>3.63555</v>
      </c>
      <c r="J171" t="n">
        <v>1.15212</v>
      </c>
      <c r="K171" t="n">
        <v>0.6820000000000001</v>
      </c>
      <c r="L171" t="n">
        <v>0.736367</v>
      </c>
      <c r="M171" t="n">
        <v>0.6231</v>
      </c>
      <c r="N171" t="n">
        <v>1.3177</v>
      </c>
      <c r="O171" t="n">
        <v>0.185665</v>
      </c>
      <c r="P171" t="n">
        <v>10.1656</v>
      </c>
      <c r="Q171" t="n">
        <v>1.154412</v>
      </c>
      <c r="R171" t="n">
        <v>19.0422</v>
      </c>
      <c r="S171" t="n">
        <v>3.0714</v>
      </c>
      <c r="T171" t="n">
        <v>0</v>
      </c>
      <c r="U171" t="n">
        <v>0</v>
      </c>
      <c r="V171" t="n">
        <v>0</v>
      </c>
      <c r="W171" t="n">
        <v>0.741384</v>
      </c>
      <c r="X171" t="n">
        <v>374</v>
      </c>
      <c r="Y171" t="n">
        <v>0</v>
      </c>
      <c r="Z171" t="n">
        <v>0</v>
      </c>
    </row>
    <row r="172">
      <c r="A172" t="inlineStr">
        <is>
          <t>M4</t>
        </is>
      </c>
      <c r="B172" t="inlineStr">
        <is>
          <t>E3</t>
        </is>
      </c>
      <c r="C172" t="n">
        <v>5</v>
      </c>
      <c r="D172" t="inlineStr">
        <is>
          <t>2026-05-03 16:37:14</t>
        </is>
      </c>
      <c r="E172" t="n">
        <v>80.1382</v>
      </c>
      <c r="F172" t="n">
        <v>55.218845</v>
      </c>
      <c r="G172" t="n">
        <v>0.827</v>
      </c>
      <c r="H172" t="n">
        <v>3.645072</v>
      </c>
      <c r="I172" t="n">
        <v>2.7255</v>
      </c>
      <c r="J172" t="n">
        <v>1.195815</v>
      </c>
      <c r="K172" t="n">
        <v>2.33245</v>
      </c>
      <c r="L172" t="n">
        <v>0.687407</v>
      </c>
      <c r="M172" t="n">
        <v>0.6075</v>
      </c>
      <c r="N172" t="n">
        <v>1</v>
      </c>
      <c r="O172" t="n">
        <v>0.189684</v>
      </c>
      <c r="P172" t="n">
        <v>4.2463</v>
      </c>
      <c r="Q172" t="n">
        <v>0.65019</v>
      </c>
      <c r="R172" t="n">
        <v>55.3243</v>
      </c>
      <c r="S172" t="n">
        <v>4.1197</v>
      </c>
      <c r="T172" t="n">
        <v>0</v>
      </c>
      <c r="U172" t="n">
        <v>0</v>
      </c>
      <c r="V172" t="n">
        <v>0</v>
      </c>
      <c r="W172" t="n">
        <v>0.689045</v>
      </c>
      <c r="X172" t="n">
        <v>517</v>
      </c>
      <c r="Y172" t="n">
        <v>0</v>
      </c>
      <c r="Z172" t="n">
        <v>0</v>
      </c>
    </row>
    <row r="173">
      <c r="A173" t="inlineStr">
        <is>
          <t>M4</t>
        </is>
      </c>
      <c r="B173" t="inlineStr">
        <is>
          <t>E3</t>
        </is>
      </c>
      <c r="C173" t="n">
        <v>6</v>
      </c>
      <c r="D173" t="inlineStr">
        <is>
          <t>2026-05-03 16:38:46</t>
        </is>
      </c>
      <c r="E173" t="n">
        <v>61.7169</v>
      </c>
      <c r="F173" t="n">
        <v>47.638596</v>
      </c>
      <c r="G173" t="n">
        <v>0.8082</v>
      </c>
      <c r="H173" t="n">
        <v>3.939967</v>
      </c>
      <c r="I173" t="n">
        <v>3.6505</v>
      </c>
      <c r="J173" t="n">
        <v>0.931095</v>
      </c>
      <c r="K173" t="n">
        <v>0.54535</v>
      </c>
      <c r="L173" t="n">
        <v>0.768459</v>
      </c>
      <c r="M173" t="n">
        <v>0.6859</v>
      </c>
      <c r="N173" t="n">
        <v>1.6506</v>
      </c>
      <c r="O173" t="n">
        <v>0.21439</v>
      </c>
      <c r="P173" t="n">
        <v>11.7103</v>
      </c>
      <c r="Q173" t="n">
        <v>1.129816</v>
      </c>
      <c r="R173" t="n">
        <v>19.3867</v>
      </c>
      <c r="S173" t="n">
        <v>5.1459</v>
      </c>
      <c r="T173" t="n">
        <v>0</v>
      </c>
      <c r="U173" t="n">
        <v>0</v>
      </c>
      <c r="V173" t="n">
        <v>0</v>
      </c>
      <c r="W173" t="n">
        <v>0.771889</v>
      </c>
      <c r="X173" t="n">
        <v>409</v>
      </c>
      <c r="Y173" t="n">
        <v>0</v>
      </c>
      <c r="Z173" t="n">
        <v>0</v>
      </c>
    </row>
    <row r="174">
      <c r="A174" t="inlineStr">
        <is>
          <t>M4</t>
        </is>
      </c>
      <c r="B174" t="inlineStr">
        <is>
          <t>E3</t>
        </is>
      </c>
      <c r="C174" t="n">
        <v>7</v>
      </c>
      <c r="D174" t="inlineStr">
        <is>
          <t>2026-05-03 16:40:39</t>
        </is>
      </c>
      <c r="E174" t="n">
        <v>82.72150000000001</v>
      </c>
      <c r="F174" t="n">
        <v>69.867559</v>
      </c>
      <c r="G174" t="n">
        <v>0.8287</v>
      </c>
      <c r="H174" t="n">
        <v>6.07503</v>
      </c>
      <c r="I174" t="n">
        <v>3.68805</v>
      </c>
      <c r="J174" t="n">
        <v>1.01461</v>
      </c>
      <c r="K174" t="n">
        <v>8.712400000000001</v>
      </c>
      <c r="L174" t="n">
        <v>0.840418</v>
      </c>
      <c r="M174" t="n">
        <v>0.997</v>
      </c>
      <c r="N174" t="n">
        <v>1.3939</v>
      </c>
      <c r="O174" t="n">
        <v>0.208057</v>
      </c>
      <c r="P174" t="n">
        <v>8.198600000000001</v>
      </c>
      <c r="Q174" t="n">
        <v>0.90367</v>
      </c>
      <c r="R174" t="n">
        <v>21.8219</v>
      </c>
      <c r="S174" t="n">
        <v>5.2093</v>
      </c>
      <c r="T174" t="n">
        <v>0</v>
      </c>
      <c r="U174" t="n">
        <v>0</v>
      </c>
      <c r="V174" t="n">
        <v>0</v>
      </c>
      <c r="W174" t="n">
        <v>0.844612</v>
      </c>
      <c r="X174" t="n">
        <v>548</v>
      </c>
      <c r="Y174" t="n">
        <v>0</v>
      </c>
      <c r="Z174" t="n">
        <v>0</v>
      </c>
    </row>
    <row r="175">
      <c r="A175" t="inlineStr">
        <is>
          <t>M4</t>
        </is>
      </c>
      <c r="B175" t="inlineStr">
        <is>
          <t>E3</t>
        </is>
      </c>
      <c r="C175" t="n">
        <v>8</v>
      </c>
      <c r="D175" t="inlineStr">
        <is>
          <t>2026-05-03 16:42:11</t>
        </is>
      </c>
      <c r="E175" t="n">
        <v>37.2745</v>
      </c>
      <c r="F175" t="n">
        <v>32.436959</v>
      </c>
      <c r="G175" t="n">
        <v>1.727</v>
      </c>
      <c r="H175" t="n">
        <v>3.446821</v>
      </c>
      <c r="I175" t="n">
        <v>3.6822</v>
      </c>
      <c r="J175" t="n">
        <v>2.25209</v>
      </c>
      <c r="K175" t="n">
        <v>0.087975</v>
      </c>
      <c r="L175" t="n">
        <v>0.869152</v>
      </c>
      <c r="M175" t="n">
        <v>0.9975000000000001</v>
      </c>
      <c r="N175" t="n">
        <v>1.4418</v>
      </c>
      <c r="O175" t="n">
        <v>0.179763</v>
      </c>
      <c r="P175" t="n">
        <v>9.633699999999999</v>
      </c>
      <c r="Q175" t="n">
        <v>0.986894</v>
      </c>
      <c r="R175" t="n">
        <v>8.5848</v>
      </c>
      <c r="S175" t="n">
        <v>0</v>
      </c>
      <c r="T175" t="n">
        <v>0</v>
      </c>
      <c r="U175" t="n">
        <v>0</v>
      </c>
      <c r="V175" t="n">
        <v>0</v>
      </c>
      <c r="W175" t="n">
        <v>0.870218</v>
      </c>
      <c r="X175" t="n">
        <v>253</v>
      </c>
      <c r="Y175" t="n">
        <v>0</v>
      </c>
      <c r="Z175" t="n">
        <v>0</v>
      </c>
    </row>
    <row r="176">
      <c r="A176" t="inlineStr">
        <is>
          <t>M4</t>
        </is>
      </c>
      <c r="B176" t="inlineStr">
        <is>
          <t>E3</t>
        </is>
      </c>
      <c r="C176" t="n">
        <v>9</v>
      </c>
      <c r="D176" t="inlineStr">
        <is>
          <t>2026-05-03 16:43:25</t>
        </is>
      </c>
      <c r="E176" t="n">
        <v>46.8662</v>
      </c>
      <c r="F176" t="n">
        <v>37.888356</v>
      </c>
      <c r="G176" t="n">
        <v>0.8499</v>
      </c>
      <c r="H176" t="n">
        <v>3.07162</v>
      </c>
      <c r="I176" t="n">
        <v>3.6725</v>
      </c>
      <c r="J176" t="n">
        <v>0.936335</v>
      </c>
      <c r="K176" t="n">
        <v>1.240975</v>
      </c>
      <c r="L176" t="n">
        <v>0.810227</v>
      </c>
      <c r="M176" t="n">
        <v>0.9969</v>
      </c>
      <c r="N176" t="n">
        <v>1.429</v>
      </c>
      <c r="O176" t="n">
        <v>0.223983</v>
      </c>
      <c r="P176" t="n">
        <v>8.478999999999999</v>
      </c>
      <c r="Q176" t="n">
        <v>0.906643</v>
      </c>
      <c r="R176" t="n">
        <v>18.2794</v>
      </c>
      <c r="S176" t="n">
        <v>5.0787</v>
      </c>
      <c r="T176" t="n">
        <v>0</v>
      </c>
      <c r="U176" t="n">
        <v>0</v>
      </c>
      <c r="V176" t="n">
        <v>0</v>
      </c>
      <c r="W176" t="n">
        <v>0.808437</v>
      </c>
      <c r="X176" t="n">
        <v>319</v>
      </c>
      <c r="Y176" t="n">
        <v>0</v>
      </c>
      <c r="Z176" t="n">
        <v>0</v>
      </c>
    </row>
    <row r="177">
      <c r="A177" t="inlineStr">
        <is>
          <t>M4</t>
        </is>
      </c>
      <c r="B177" t="inlineStr">
        <is>
          <t>E3</t>
        </is>
      </c>
      <c r="C177" t="n">
        <v>10</v>
      </c>
      <c r="D177" t="inlineStr">
        <is>
          <t>2026-05-03 16:45:19</t>
        </is>
      </c>
      <c r="E177" t="n">
        <v>90.4169</v>
      </c>
      <c r="F177" t="n">
        <v>77.33457</v>
      </c>
      <c r="G177" t="n">
        <v>0.8377</v>
      </c>
      <c r="H177" t="n">
        <v>6.5836</v>
      </c>
      <c r="I177" t="n">
        <v>3.7073</v>
      </c>
      <c r="J177" t="n">
        <v>1.043625</v>
      </c>
      <c r="K177" t="n">
        <v>8.4003</v>
      </c>
      <c r="L177" t="n">
        <v>0.853141</v>
      </c>
      <c r="M177" t="n">
        <v>0.9994</v>
      </c>
      <c r="N177" t="n">
        <v>1.3626</v>
      </c>
      <c r="O177" t="n">
        <v>0.204219</v>
      </c>
      <c r="P177" t="n">
        <v>8.2043</v>
      </c>
      <c r="Q177" t="n">
        <v>0.86594</v>
      </c>
      <c r="R177" t="n">
        <v>22.1515</v>
      </c>
      <c r="S177" t="n">
        <v>5.2616</v>
      </c>
      <c r="T177" t="n">
        <v>0</v>
      </c>
      <c r="U177" t="n">
        <v>0</v>
      </c>
      <c r="V177" t="n">
        <v>0</v>
      </c>
      <c r="W177" t="n">
        <v>0.855311</v>
      </c>
      <c r="X177" t="n">
        <v>595</v>
      </c>
      <c r="Y177" t="n">
        <v>0</v>
      </c>
      <c r="Z177" t="n">
        <v>0</v>
      </c>
    </row>
    <row r="178">
      <c r="A178" t="inlineStr">
        <is>
          <t>M4</t>
        </is>
      </c>
      <c r="B178" t="inlineStr">
        <is>
          <t>E4</t>
        </is>
      </c>
      <c r="C178" t="n">
        <v>1</v>
      </c>
      <c r="D178" t="inlineStr">
        <is>
          <t>2026-05-03 18:12:43</t>
        </is>
      </c>
      <c r="E178" t="n">
        <v>131.3071</v>
      </c>
      <c r="F178" t="n">
        <v>95.655316</v>
      </c>
      <c r="G178" t="n">
        <v>0.8452</v>
      </c>
      <c r="H178" t="n">
        <v>3.73329</v>
      </c>
      <c r="I178" t="n">
        <v>2.7597</v>
      </c>
      <c r="J178" t="n">
        <v>0.9795199999999999</v>
      </c>
      <c r="K178" t="n">
        <v>2.9243</v>
      </c>
      <c r="L178" t="n">
        <v>0.7272149999999999</v>
      </c>
      <c r="M178" t="n">
        <v>0.6075</v>
      </c>
      <c r="N178" t="n">
        <v>1.8572</v>
      </c>
      <c r="O178" t="n">
        <v>0.210338</v>
      </c>
      <c r="P178" t="n">
        <v>16.3237</v>
      </c>
      <c r="Q178" t="n">
        <v>0.756266</v>
      </c>
      <c r="R178" t="n">
        <v>84.25790000000001</v>
      </c>
      <c r="S178" t="n">
        <v>13.1338</v>
      </c>
      <c r="T178" t="n">
        <v>0</v>
      </c>
      <c r="U178" t="n">
        <v>0</v>
      </c>
      <c r="V178" t="n">
        <v>0</v>
      </c>
      <c r="W178" t="n">
        <v>0.728485</v>
      </c>
      <c r="X178" t="n">
        <v>946</v>
      </c>
      <c r="Y178" t="n">
        <v>0</v>
      </c>
      <c r="Z178" t="n">
        <v>0</v>
      </c>
    </row>
    <row r="179">
      <c r="A179" t="inlineStr">
        <is>
          <t>M4</t>
        </is>
      </c>
      <c r="B179" t="inlineStr">
        <is>
          <t>E4</t>
        </is>
      </c>
      <c r="C179" t="n">
        <v>2</v>
      </c>
      <c r="D179" t="inlineStr">
        <is>
          <t>2026-05-03 18:16:51</t>
        </is>
      </c>
      <c r="E179" t="n">
        <v>134.9897</v>
      </c>
      <c r="F179" t="n">
        <v>96.077977</v>
      </c>
      <c r="G179" t="n">
        <v>0.8327</v>
      </c>
      <c r="H179" t="n">
        <v>3.634595</v>
      </c>
      <c r="I179" t="n">
        <v>2.6591</v>
      </c>
      <c r="J179" t="n">
        <v>0.955855</v>
      </c>
      <c r="K179" t="n">
        <v>2.732825</v>
      </c>
      <c r="L179" t="n">
        <v>0.711633</v>
      </c>
      <c r="M179" t="n">
        <v>0.6075</v>
      </c>
      <c r="N179" t="n">
        <v>1.5201</v>
      </c>
      <c r="O179" t="n">
        <v>0.207084</v>
      </c>
      <c r="P179" t="n">
        <v>9.595700000000001</v>
      </c>
      <c r="Q179" t="n">
        <v>0.629541</v>
      </c>
      <c r="R179" t="n">
        <v>91.14279999999999</v>
      </c>
      <c r="S179" t="n">
        <v>15.73</v>
      </c>
      <c r="T179" t="n">
        <v>0</v>
      </c>
      <c r="U179" t="n">
        <v>0</v>
      </c>
      <c r="V179" t="n">
        <v>0</v>
      </c>
      <c r="W179" t="n">
        <v>0.711743</v>
      </c>
      <c r="X179" t="n">
        <v>901</v>
      </c>
      <c r="Y179" t="n">
        <v>0</v>
      </c>
      <c r="Z179" t="n">
        <v>0</v>
      </c>
    </row>
    <row r="180">
      <c r="A180" t="inlineStr">
        <is>
          <t>M4</t>
        </is>
      </c>
      <c r="B180" t="inlineStr">
        <is>
          <t>E4</t>
        </is>
      </c>
      <c r="C180" t="n">
        <v>3</v>
      </c>
      <c r="D180" t="inlineStr">
        <is>
          <t>2026-05-03 18:27:03</t>
        </is>
      </c>
      <c r="E180" t="n">
        <v>139.3925</v>
      </c>
      <c r="F180" t="n">
        <v>95.737148</v>
      </c>
      <c r="G180" t="n">
        <v>0.8435</v>
      </c>
      <c r="H180" t="n">
        <v>3.421711</v>
      </c>
      <c r="I180" t="n">
        <v>2.5549</v>
      </c>
      <c r="J180" t="n">
        <v>0.965025</v>
      </c>
      <c r="K180" t="n">
        <v>2.076025</v>
      </c>
      <c r="L180" t="n">
        <v>0.687607</v>
      </c>
      <c r="M180" t="n">
        <v>0.6075</v>
      </c>
      <c r="N180" t="n">
        <v>1.4241</v>
      </c>
      <c r="O180" t="n">
        <v>0.19444</v>
      </c>
      <c r="P180" t="n">
        <v>11.8693</v>
      </c>
      <c r="Q180" t="n">
        <v>0.6250289999999999</v>
      </c>
      <c r="R180" t="n">
        <v>102.3073</v>
      </c>
      <c r="S180" t="n">
        <v>17.3346</v>
      </c>
      <c r="T180" t="n">
        <v>0</v>
      </c>
      <c r="U180" t="n">
        <v>0</v>
      </c>
      <c r="V180" t="n">
        <v>0</v>
      </c>
      <c r="W180" t="n">
        <v>0.686817</v>
      </c>
      <c r="X180" t="n">
        <v>915</v>
      </c>
      <c r="Y180" t="n">
        <v>0</v>
      </c>
      <c r="Z180" t="n">
        <v>0</v>
      </c>
    </row>
    <row r="181">
      <c r="A181" t="inlineStr">
        <is>
          <t>M4</t>
        </is>
      </c>
      <c r="B181" t="inlineStr">
        <is>
          <t>E4</t>
        </is>
      </c>
      <c r="C181" t="n">
        <v>4</v>
      </c>
      <c r="D181" t="inlineStr">
        <is>
          <t>2026-05-03 18:33:42</t>
        </is>
      </c>
      <c r="E181" t="n">
        <v>151.5742</v>
      </c>
      <c r="F181" t="n">
        <v>97.44062700000001</v>
      </c>
      <c r="G181" t="n">
        <v>0.712</v>
      </c>
      <c r="H181" t="n">
        <v>2.854754</v>
      </c>
      <c r="I181" t="n">
        <v>1.9663</v>
      </c>
      <c r="J181" t="n">
        <v>0.93808</v>
      </c>
      <c r="K181" t="n">
        <v>1.563075</v>
      </c>
      <c r="L181" t="n">
        <v>0.642656</v>
      </c>
      <c r="M181" t="n">
        <v>0.6075</v>
      </c>
      <c r="N181" t="n">
        <v>1.4724</v>
      </c>
      <c r="O181" t="n">
        <v>0.181389</v>
      </c>
      <c r="P181" t="n">
        <v>9.5374</v>
      </c>
      <c r="Q181" t="n">
        <v>0.639625</v>
      </c>
      <c r="R181" t="n">
        <v>124.1214</v>
      </c>
      <c r="S181" t="n">
        <v>23.332</v>
      </c>
      <c r="T181" t="n">
        <v>0</v>
      </c>
      <c r="U181" t="n">
        <v>0.1537</v>
      </c>
      <c r="V181" t="n">
        <v>1</v>
      </c>
      <c r="W181" t="n">
        <v>0.642858</v>
      </c>
      <c r="X181" t="n">
        <v>999</v>
      </c>
      <c r="Y181" t="n">
        <v>0</v>
      </c>
      <c r="Z181" t="n">
        <v>0</v>
      </c>
    </row>
    <row r="182">
      <c r="A182" t="inlineStr">
        <is>
          <t>M4</t>
        </is>
      </c>
      <c r="B182" t="inlineStr">
        <is>
          <t>E4</t>
        </is>
      </c>
      <c r="C182" t="n">
        <v>5</v>
      </c>
      <c r="D182" t="inlineStr">
        <is>
          <t>2026-05-03 18:37:45</t>
        </is>
      </c>
      <c r="E182" t="n">
        <v>158.0139</v>
      </c>
      <c r="F182" t="n">
        <v>98.744642</v>
      </c>
      <c r="G182" t="n">
        <v>0.7223000000000001</v>
      </c>
      <c r="H182" t="n">
        <v>2.657988</v>
      </c>
      <c r="I182" t="n">
        <v>1.8722</v>
      </c>
      <c r="J182" t="n">
        <v>0.9346950000000001</v>
      </c>
      <c r="K182" t="n">
        <v>1.7257</v>
      </c>
      <c r="L182" t="n">
        <v>0.622513</v>
      </c>
      <c r="M182" t="n">
        <v>0.6075</v>
      </c>
      <c r="N182" t="n">
        <v>1.3899</v>
      </c>
      <c r="O182" t="n">
        <v>0.181944</v>
      </c>
      <c r="P182" t="n">
        <v>10.2571</v>
      </c>
      <c r="Q182" t="n">
        <v>0.695211</v>
      </c>
      <c r="R182" t="n">
        <v>131.2529</v>
      </c>
      <c r="S182" t="n">
        <v>33.0219</v>
      </c>
      <c r="T182" t="n">
        <v>0</v>
      </c>
      <c r="U182" t="n">
        <v>0</v>
      </c>
      <c r="V182" t="n">
        <v>0</v>
      </c>
      <c r="W182" t="n">
        <v>0.624911</v>
      </c>
      <c r="X182" t="n">
        <v>1021</v>
      </c>
      <c r="Y182" t="n">
        <v>0</v>
      </c>
      <c r="Z182" t="n">
        <v>0</v>
      </c>
    </row>
    <row r="183">
      <c r="A183" t="inlineStr">
        <is>
          <t>M4</t>
        </is>
      </c>
      <c r="B183" t="inlineStr">
        <is>
          <t>E4</t>
        </is>
      </c>
      <c r="C183" t="n">
        <v>6</v>
      </c>
      <c r="D183" t="inlineStr">
        <is>
          <t>2026-05-03 18:40:51</t>
        </is>
      </c>
      <c r="E183" t="n">
        <v>161.3817</v>
      </c>
      <c r="F183" t="n">
        <v>99.21743600000001</v>
      </c>
      <c r="G183" t="n">
        <v>0.5379</v>
      </c>
      <c r="H183" t="n">
        <v>2.698914</v>
      </c>
      <c r="I183" t="n">
        <v>1.9686</v>
      </c>
      <c r="J183" t="n">
        <v>0.915805</v>
      </c>
      <c r="K183" t="n">
        <v>1.651</v>
      </c>
      <c r="L183" t="n">
        <v>0.614996</v>
      </c>
      <c r="M183" t="n">
        <v>0.6075</v>
      </c>
      <c r="N183" t="n">
        <v>1.1748</v>
      </c>
      <c r="O183" t="n">
        <v>0.169667</v>
      </c>
      <c r="P183" t="n">
        <v>7.4825</v>
      </c>
      <c r="Q183" t="n">
        <v>0.583176</v>
      </c>
      <c r="R183" t="n">
        <v>138.6234</v>
      </c>
      <c r="S183" t="n">
        <v>40.6294</v>
      </c>
      <c r="T183" t="n">
        <v>0</v>
      </c>
      <c r="U183" t="n">
        <v>0</v>
      </c>
      <c r="V183" t="n">
        <v>0</v>
      </c>
      <c r="W183" t="n">
        <v>0.6148</v>
      </c>
      <c r="X183" t="n">
        <v>1041</v>
      </c>
      <c r="Y183" t="n">
        <v>0</v>
      </c>
      <c r="Z183" t="n">
        <v>0</v>
      </c>
    </row>
    <row r="184">
      <c r="A184" t="inlineStr">
        <is>
          <t>M4</t>
        </is>
      </c>
      <c r="B184" t="inlineStr">
        <is>
          <t>E4</t>
        </is>
      </c>
      <c r="C184" t="n">
        <v>7</v>
      </c>
      <c r="D184" t="inlineStr">
        <is>
          <t>2026-05-03 18:44:27</t>
        </is>
      </c>
      <c r="E184" t="n">
        <v>169.4332</v>
      </c>
      <c r="F184" t="n">
        <v>96.771085</v>
      </c>
      <c r="G184" t="n">
        <v>0.6889999999999999</v>
      </c>
      <c r="H184" t="n">
        <v>2.282269</v>
      </c>
      <c r="I184" t="n">
        <v>1.3075</v>
      </c>
      <c r="J184" t="n">
        <v>0.90465</v>
      </c>
      <c r="K184" t="n">
        <v>1.426625</v>
      </c>
      <c r="L184" t="n">
        <v>0.572066</v>
      </c>
      <c r="M184" t="n">
        <v>0.5637</v>
      </c>
      <c r="N184" t="n">
        <v>1.4696</v>
      </c>
      <c r="O184" t="n">
        <v>0.171345</v>
      </c>
      <c r="P184" t="n">
        <v>9.4726</v>
      </c>
      <c r="Q184" t="n">
        <v>0.546633</v>
      </c>
      <c r="R184" t="n">
        <v>149.8312</v>
      </c>
      <c r="S184" t="n">
        <v>55.5991</v>
      </c>
      <c r="T184" t="n">
        <v>0</v>
      </c>
      <c r="U184" t="n">
        <v>0</v>
      </c>
      <c r="V184" t="n">
        <v>0</v>
      </c>
      <c r="W184" t="n">
        <v>0.571146</v>
      </c>
      <c r="X184" t="n">
        <v>1153</v>
      </c>
      <c r="Y184" t="n">
        <v>0</v>
      </c>
      <c r="Z184" t="n">
        <v>0</v>
      </c>
    </row>
    <row r="185">
      <c r="A185" t="inlineStr">
        <is>
          <t>M4</t>
        </is>
      </c>
      <c r="B185" t="inlineStr">
        <is>
          <t>E4</t>
        </is>
      </c>
      <c r="C185" t="n">
        <v>8</v>
      </c>
      <c r="D185" t="inlineStr">
        <is>
          <t>2026-05-03 18:49:14</t>
        </is>
      </c>
      <c r="E185" t="n">
        <v>148.3595</v>
      </c>
      <c r="F185" t="n">
        <v>94.55255099999999</v>
      </c>
      <c r="G185" t="n">
        <v>0.8929</v>
      </c>
      <c r="H185" t="n">
        <v>2.667041</v>
      </c>
      <c r="I185" t="n">
        <v>1.61305</v>
      </c>
      <c r="J185" t="n">
        <v>1.03996</v>
      </c>
      <c r="K185" t="n">
        <v>1.7176</v>
      </c>
      <c r="L185" t="n">
        <v>0.6404260000000001</v>
      </c>
      <c r="M185" t="n">
        <v>0.6075</v>
      </c>
      <c r="N185" t="n">
        <v>1.8239</v>
      </c>
      <c r="O185" t="n">
        <v>0.184136</v>
      </c>
      <c r="P185" t="n">
        <v>8.0966</v>
      </c>
      <c r="Q185" t="n">
        <v>0.523838</v>
      </c>
      <c r="R185" t="n">
        <v>121.5285</v>
      </c>
      <c r="S185" t="n">
        <v>13.8656</v>
      </c>
      <c r="T185" t="n">
        <v>0</v>
      </c>
      <c r="U185" t="n">
        <v>0</v>
      </c>
      <c r="V185" t="n">
        <v>0</v>
      </c>
      <c r="W185" t="n">
        <v>0.637321</v>
      </c>
      <c r="X185" t="n">
        <v>994</v>
      </c>
      <c r="Y185" t="n">
        <v>0</v>
      </c>
      <c r="Z185" t="n">
        <v>0</v>
      </c>
    </row>
    <row r="186">
      <c r="A186" t="inlineStr">
        <is>
          <t>M4</t>
        </is>
      </c>
      <c r="B186" t="inlineStr">
        <is>
          <t>E4</t>
        </is>
      </c>
      <c r="C186" t="n">
        <v>9</v>
      </c>
      <c r="D186" t="inlineStr">
        <is>
          <t>2026-05-03 19:03:10</t>
        </is>
      </c>
      <c r="E186" t="n">
        <v>152.1115</v>
      </c>
      <c r="F186" t="n">
        <v>96.696843</v>
      </c>
      <c r="G186" t="n">
        <v>0.7629</v>
      </c>
      <c r="H186" t="n">
        <v>2.820177</v>
      </c>
      <c r="I186" t="n">
        <v>1.9651</v>
      </c>
      <c r="J186" t="n">
        <v>0.971695</v>
      </c>
      <c r="K186" t="n">
        <v>1.87475</v>
      </c>
      <c r="L186" t="n">
        <v>0.6375</v>
      </c>
      <c r="M186" t="n">
        <v>0.6075</v>
      </c>
      <c r="N186" t="n">
        <v>2.1546</v>
      </c>
      <c r="O186" t="n">
        <v>0.18814</v>
      </c>
      <c r="P186" t="n">
        <v>12.2626</v>
      </c>
      <c r="Q186" t="n">
        <v>0.710282</v>
      </c>
      <c r="R186" t="n">
        <v>125.4846</v>
      </c>
      <c r="S186" t="n">
        <v>16.9075</v>
      </c>
      <c r="T186" t="n">
        <v>0</v>
      </c>
      <c r="U186" t="n">
        <v>0</v>
      </c>
      <c r="V186" t="n">
        <v>0</v>
      </c>
      <c r="W186" t="n">
        <v>0.635697</v>
      </c>
      <c r="X186" t="n">
        <v>1027</v>
      </c>
      <c r="Y186" t="n">
        <v>0</v>
      </c>
      <c r="Z186" t="n">
        <v>0</v>
      </c>
    </row>
    <row r="187">
      <c r="A187" t="inlineStr">
        <is>
          <t>M4</t>
        </is>
      </c>
      <c r="B187" t="inlineStr">
        <is>
          <t>E4</t>
        </is>
      </c>
      <c r="C187" t="n">
        <v>10</v>
      </c>
      <c r="D187" t="inlineStr">
        <is>
          <t>2026-05-03 19:06:31</t>
        </is>
      </c>
      <c r="E187" t="n">
        <v>151.2995</v>
      </c>
      <c r="F187" t="n">
        <v>96.52297799999999</v>
      </c>
      <c r="G187" t="n">
        <v>0.7533</v>
      </c>
      <c r="H187" t="n">
        <v>2.85934</v>
      </c>
      <c r="I187" t="n">
        <v>1.9791</v>
      </c>
      <c r="J187" t="n">
        <v>0.95675</v>
      </c>
      <c r="K187" t="n">
        <v>1.90575</v>
      </c>
      <c r="L187" t="n">
        <v>0.640803</v>
      </c>
      <c r="M187" t="n">
        <v>0.6075</v>
      </c>
      <c r="N187" t="n">
        <v>2.3151</v>
      </c>
      <c r="O187" t="n">
        <v>0.19091</v>
      </c>
      <c r="P187" t="n">
        <v>14.7836</v>
      </c>
      <c r="Q187" t="n">
        <v>0.757091</v>
      </c>
      <c r="R187" t="n">
        <v>124.4774</v>
      </c>
      <c r="S187" t="n">
        <v>15.5454</v>
      </c>
      <c r="T187" t="n">
        <v>0</v>
      </c>
      <c r="U187" t="n">
        <v>0</v>
      </c>
      <c r="V187" t="n">
        <v>0</v>
      </c>
      <c r="W187" t="n">
        <v>0.63796</v>
      </c>
      <c r="X187" t="n">
        <v>996</v>
      </c>
      <c r="Y187" t="n">
        <v>0</v>
      </c>
      <c r="Z187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ESTADISTICA DESCRIPTIVA POR METODO Y METRICA (con fórmulas)</t>
        </is>
      </c>
    </row>
    <row r="3">
      <c r="A3" s="11" t="inlineStr">
        <is>
          <t>Notas:</t>
        </is>
      </c>
    </row>
    <row r="4">
      <c r="A4" t="inlineStr">
        <is>
          <t>- Las fórmulas hacen referencia a la hoja 01_Datos_brutos. Modifique los datos brutos y todo se recalcula.</t>
        </is>
      </c>
    </row>
    <row r="5">
      <c r="A5" t="inlineStr">
        <is>
          <t>- Azul = inputs / parámetros; Negro = fórmulas; Verde = referencias entre hojas.</t>
        </is>
      </c>
    </row>
    <row r="7">
      <c r="A7" s="3" t="inlineStr">
        <is>
          <t>Metodo</t>
        </is>
      </c>
      <c r="B7" s="3" t="inlineStr">
        <is>
          <t>Metrica</t>
        </is>
      </c>
      <c r="C7" s="25" t="inlineStr">
        <is>
          <t>n</t>
        </is>
      </c>
      <c r="D7" s="25" t="inlineStr">
        <is>
          <t>Media</t>
        </is>
      </c>
      <c r="E7" s="25" t="inlineStr">
        <is>
          <t>SD</t>
        </is>
      </c>
      <c r="F7" s="25" t="inlineStr">
        <is>
          <t>CV</t>
        </is>
      </c>
      <c r="G7" s="25" t="inlineStr">
        <is>
          <t>Min</t>
        </is>
      </c>
      <c r="H7" s="25" t="inlineStr">
        <is>
          <t>Q25</t>
        </is>
      </c>
      <c r="I7" s="25" t="inlineStr">
        <is>
          <t>Mediana</t>
        </is>
      </c>
      <c r="J7" s="25" t="inlineStr">
        <is>
          <t>Q75</t>
        </is>
      </c>
      <c r="K7" s="25" t="inlineStr">
        <is>
          <t>Max</t>
        </is>
      </c>
      <c r="L7" s="25" t="inlineStr">
        <is>
          <t>IQR</t>
        </is>
      </c>
    </row>
    <row r="8">
      <c r="A8" s="26" t="inlineStr">
        <is>
          <t>M0</t>
        </is>
      </c>
      <c r="B8" s="27" t="inlineStr">
        <is>
          <t>DistMin_m</t>
        </is>
      </c>
      <c r="C8" s="28">
        <f>COUNTIFS('01_Datos_brutos'!A4:A187,"M0")</f>
        <v/>
      </c>
      <c r="D8" s="12">
        <f>AVERAGEIFS('01_Datos_brutos'!G4:G187,'01_Datos_brutos'!A4:A187,"M0")</f>
        <v/>
      </c>
      <c r="E8" s="12">
        <f>STDEV(IF('01_Datos_brutos'!A4:A187="M0",'01_Datos_brutos'!G4:G187))</f>
        <v/>
      </c>
      <c r="F8" s="29">
        <f>IFERROR(E8/D8,"")</f>
        <v/>
      </c>
      <c r="G8" s="12">
        <f>MINIFS('01_Datos_brutos'!G4:G187,'01_Datos_brutos'!A4:A187,"M0")</f>
        <v/>
      </c>
      <c r="H8" s="12">
        <f>PERCENTILE(IF('01_Datos_brutos'!A4:A187="M0",'01_Datos_brutos'!G4:G187),0.25)</f>
        <v/>
      </c>
      <c r="I8" s="12">
        <f>PERCENTILE(IF('01_Datos_brutos'!A4:A187="M0",'01_Datos_brutos'!G4:G187),0.5)</f>
        <v/>
      </c>
      <c r="J8" s="12">
        <f>PERCENTILE(IF('01_Datos_brutos'!A4:A187="M0",'01_Datos_brutos'!G4:G187),0.75)</f>
        <v/>
      </c>
      <c r="K8" s="12">
        <f>MAXIFS('01_Datos_brutos'!G4:G187,'01_Datos_brutos'!A4:A187,"M0")</f>
        <v/>
      </c>
      <c r="L8" s="29">
        <f>J8-H8</f>
        <v/>
      </c>
    </row>
    <row r="9">
      <c r="A9" s="26" t="inlineStr">
        <is>
          <t>M0</t>
        </is>
      </c>
      <c r="B9" s="27" t="inlineStr">
        <is>
          <t>DistMedia_m</t>
        </is>
      </c>
      <c r="C9" s="28">
        <f>COUNTIFS('01_Datos_brutos'!A4:A187,"M0")</f>
        <v/>
      </c>
      <c r="D9" s="12">
        <f>AVERAGEIFS('01_Datos_brutos'!H4:H187,'01_Datos_brutos'!A4:A187,"M0")</f>
        <v/>
      </c>
      <c r="E9" s="12">
        <f>STDEV(IF('01_Datos_brutos'!A4:A187="M0",'01_Datos_brutos'!H4:H187))</f>
        <v/>
      </c>
      <c r="F9" s="29">
        <f>IFERROR(E9/D9,"")</f>
        <v/>
      </c>
      <c r="G9" s="12">
        <f>MINIFS('01_Datos_brutos'!H4:H187,'01_Datos_brutos'!A4:A187,"M0")</f>
        <v/>
      </c>
      <c r="H9" s="12">
        <f>PERCENTILE(IF('01_Datos_brutos'!A4:A187="M0",'01_Datos_brutos'!H4:H187),0.25)</f>
        <v/>
      </c>
      <c r="I9" s="12">
        <f>PERCENTILE(IF('01_Datos_brutos'!A4:A187="M0",'01_Datos_brutos'!H4:H187),0.5)</f>
        <v/>
      </c>
      <c r="J9" s="12">
        <f>PERCENTILE(IF('01_Datos_brutos'!A4:A187="M0",'01_Datos_brutos'!H4:H187),0.75)</f>
        <v/>
      </c>
      <c r="K9" s="12">
        <f>MAXIFS('01_Datos_brutos'!H4:H187,'01_Datos_brutos'!A4:A187,"M0")</f>
        <v/>
      </c>
      <c r="L9" s="29">
        <f>J9-H9</f>
        <v/>
      </c>
    </row>
    <row r="10">
      <c r="A10" s="26" t="inlineStr">
        <is>
          <t>M0</t>
        </is>
      </c>
      <c r="B10" s="27" t="inlineStr">
        <is>
          <t>DistP05_m</t>
        </is>
      </c>
      <c r="C10" s="28">
        <f>COUNTIFS('01_Datos_brutos'!A4:A187,"M0")</f>
        <v/>
      </c>
      <c r="D10" s="12">
        <f>AVERAGEIFS('01_Datos_brutos'!J4:J187,'01_Datos_brutos'!A4:A187,"M0")</f>
        <v/>
      </c>
      <c r="E10" s="12">
        <f>STDEV(IF('01_Datos_brutos'!A4:A187="M0",'01_Datos_brutos'!J4:J187))</f>
        <v/>
      </c>
      <c r="F10" s="29">
        <f>IFERROR(E10/D10,"")</f>
        <v/>
      </c>
      <c r="G10" s="12">
        <f>MINIFS('01_Datos_brutos'!J4:J187,'01_Datos_brutos'!A4:A187,"M0")</f>
        <v/>
      </c>
      <c r="H10" s="12">
        <f>PERCENTILE(IF('01_Datos_brutos'!A4:A187="M0",'01_Datos_brutos'!J4:J187),0.25)</f>
        <v/>
      </c>
      <c r="I10" s="12">
        <f>PERCENTILE(IF('01_Datos_brutos'!A4:A187="M0",'01_Datos_brutos'!J4:J187),0.5)</f>
        <v/>
      </c>
      <c r="J10" s="12">
        <f>PERCENTILE(IF('01_Datos_brutos'!A4:A187="M0",'01_Datos_brutos'!J4:J187),0.75)</f>
        <v/>
      </c>
      <c r="K10" s="12">
        <f>MAXIFS('01_Datos_brutos'!J4:J187,'01_Datos_brutos'!A4:A187,"M0")</f>
        <v/>
      </c>
      <c r="L10" s="29">
        <f>J10-H10</f>
        <v/>
      </c>
    </row>
    <row r="11">
      <c r="A11" s="26" t="inlineStr">
        <is>
          <t>M0</t>
        </is>
      </c>
      <c r="B11" s="27" t="inlineStr">
        <is>
          <t>TiempoPersonal_s</t>
        </is>
      </c>
      <c r="C11" s="28">
        <f>COUNTIFS('01_Datos_brutos'!A4:A187,"M0")</f>
        <v/>
      </c>
      <c r="D11" s="12">
        <f>AVERAGEIFS('01_Datos_brutos'!S4:S187,'01_Datos_brutos'!A4:A187,"M0")</f>
        <v/>
      </c>
      <c r="E11" s="12">
        <f>STDEV(IF('01_Datos_brutos'!A4:A187="M0",'01_Datos_brutos'!S4:S187))</f>
        <v/>
      </c>
      <c r="F11" s="29">
        <f>IFERROR(E11/D11,"")</f>
        <v/>
      </c>
      <c r="G11" s="12">
        <f>MINIFS('01_Datos_brutos'!S4:S187,'01_Datos_brutos'!A4:A187,"M0")</f>
        <v/>
      </c>
      <c r="H11" s="12">
        <f>PERCENTILE(IF('01_Datos_brutos'!A4:A187="M0",'01_Datos_brutos'!S4:S187),0.25)</f>
        <v/>
      </c>
      <c r="I11" s="12">
        <f>PERCENTILE(IF('01_Datos_brutos'!A4:A187="M0",'01_Datos_brutos'!S4:S187),0.5)</f>
        <v/>
      </c>
      <c r="J11" s="12">
        <f>PERCENTILE(IF('01_Datos_brutos'!A4:A187="M0",'01_Datos_brutos'!S4:S187),0.75)</f>
        <v/>
      </c>
      <c r="K11" s="12">
        <f>MAXIFS('01_Datos_brutos'!S4:S187,'01_Datos_brutos'!A4:A187,"M0")</f>
        <v/>
      </c>
      <c r="L11" s="29">
        <f>J11-H11</f>
        <v/>
      </c>
    </row>
    <row r="12">
      <c r="A12" s="26" t="inlineStr">
        <is>
          <t>M0</t>
        </is>
      </c>
      <c r="B12" s="27" t="inlineStr">
        <is>
          <t>TiempoIntima_s</t>
        </is>
      </c>
      <c r="C12" s="28">
        <f>COUNTIFS('01_Datos_brutos'!A4:A187,"M0")</f>
        <v/>
      </c>
      <c r="D12" s="12">
        <f>AVERAGEIFS('01_Datos_brutos'!T4:T187,'01_Datos_brutos'!A4:A187,"M0")</f>
        <v/>
      </c>
      <c r="E12" s="12">
        <f>STDEV(IF('01_Datos_brutos'!A4:A187="M0",'01_Datos_brutos'!T4:T187))</f>
        <v/>
      </c>
      <c r="F12" s="29">
        <f>IFERROR(E12/D12,"")</f>
        <v/>
      </c>
      <c r="G12" s="12">
        <f>MINIFS('01_Datos_brutos'!T4:T187,'01_Datos_brutos'!A4:A187,"M0")</f>
        <v/>
      </c>
      <c r="H12" s="12">
        <f>PERCENTILE(IF('01_Datos_brutos'!A4:A187="M0",'01_Datos_brutos'!T4:T187),0.25)</f>
        <v/>
      </c>
      <c r="I12" s="12">
        <f>PERCENTILE(IF('01_Datos_brutos'!A4:A187="M0",'01_Datos_brutos'!T4:T187),0.5)</f>
        <v/>
      </c>
      <c r="J12" s="12">
        <f>PERCENTILE(IF('01_Datos_brutos'!A4:A187="M0",'01_Datos_brutos'!T4:T187),0.75)</f>
        <v/>
      </c>
      <c r="K12" s="12">
        <f>MAXIFS('01_Datos_brutos'!T4:T187,'01_Datos_brutos'!A4:A187,"M0")</f>
        <v/>
      </c>
      <c r="L12" s="29">
        <f>J12-H12</f>
        <v/>
      </c>
    </row>
    <row r="13">
      <c r="A13" s="26" t="inlineStr">
        <is>
          <t>M0</t>
        </is>
      </c>
      <c r="B13" s="27" t="inlineStr">
        <is>
          <t>TiempoTotal_s</t>
        </is>
      </c>
      <c r="C13" s="28">
        <f>COUNTIFS('01_Datos_brutos'!A4:A187,"M0")</f>
        <v/>
      </c>
      <c r="D13" s="12">
        <f>AVERAGEIFS('01_Datos_brutos'!E4:E187,'01_Datos_brutos'!A4:A187,"M0")</f>
        <v/>
      </c>
      <c r="E13" s="12">
        <f>STDEV(IF('01_Datos_brutos'!A4:A187="M0",'01_Datos_brutos'!E4:E187))</f>
        <v/>
      </c>
      <c r="F13" s="29">
        <f>IFERROR(E13/D13,"")</f>
        <v/>
      </c>
      <c r="G13" s="12">
        <f>MINIFS('01_Datos_brutos'!E4:E187,'01_Datos_brutos'!A4:A187,"M0")</f>
        <v/>
      </c>
      <c r="H13" s="12">
        <f>PERCENTILE(IF('01_Datos_brutos'!A4:A187="M0",'01_Datos_brutos'!E4:E187),0.25)</f>
        <v/>
      </c>
      <c r="I13" s="12">
        <f>PERCENTILE(IF('01_Datos_brutos'!A4:A187="M0",'01_Datos_brutos'!E4:E187),0.5)</f>
        <v/>
      </c>
      <c r="J13" s="12">
        <f>PERCENTILE(IF('01_Datos_brutos'!A4:A187="M0",'01_Datos_brutos'!E4:E187),0.75)</f>
        <v/>
      </c>
      <c r="K13" s="12">
        <f>MAXIFS('01_Datos_brutos'!E4:E187,'01_Datos_brutos'!A4:A187,"M0")</f>
        <v/>
      </c>
      <c r="L13" s="29">
        <f>J13-H13</f>
        <v/>
      </c>
    </row>
    <row r="14">
      <c r="A14" s="26" t="inlineStr">
        <is>
          <t>M0</t>
        </is>
      </c>
      <c r="B14" s="27" t="inlineStr">
        <is>
          <t>LongitudTrayectoria_m</t>
        </is>
      </c>
      <c r="C14" s="28">
        <f>COUNTIFS('01_Datos_brutos'!A4:A187,"M0")</f>
        <v/>
      </c>
      <c r="D14" s="12">
        <f>AVERAGEIFS('01_Datos_brutos'!F4:F187,'01_Datos_brutos'!A4:A187,"M0")</f>
        <v/>
      </c>
      <c r="E14" s="12">
        <f>STDEV(IF('01_Datos_brutos'!A4:A187="M0",'01_Datos_brutos'!F4:F187))</f>
        <v/>
      </c>
      <c r="F14" s="29">
        <f>IFERROR(E14/D14,"")</f>
        <v/>
      </c>
      <c r="G14" s="12">
        <f>MINIFS('01_Datos_brutos'!F4:F187,'01_Datos_brutos'!A4:A187,"M0")</f>
        <v/>
      </c>
      <c r="H14" s="12">
        <f>PERCENTILE(IF('01_Datos_brutos'!A4:A187="M0",'01_Datos_brutos'!F4:F187),0.25)</f>
        <v/>
      </c>
      <c r="I14" s="12">
        <f>PERCENTILE(IF('01_Datos_brutos'!A4:A187="M0",'01_Datos_brutos'!F4:F187),0.5)</f>
        <v/>
      </c>
      <c r="J14" s="12">
        <f>PERCENTILE(IF('01_Datos_brutos'!A4:A187="M0",'01_Datos_brutos'!F4:F187),0.75)</f>
        <v/>
      </c>
      <c r="K14" s="12">
        <f>MAXIFS('01_Datos_brutos'!F4:F187,'01_Datos_brutos'!A4:A187,"M0")</f>
        <v/>
      </c>
      <c r="L14" s="29">
        <f>J14-H14</f>
        <v/>
      </c>
    </row>
    <row r="15">
      <c r="A15" s="26" t="inlineStr">
        <is>
          <t>M0</t>
        </is>
      </c>
      <c r="B15" s="27" t="inlineStr">
        <is>
          <t>VelMedia_mps</t>
        </is>
      </c>
      <c r="C15" s="28">
        <f>COUNTIFS('01_Datos_brutos'!A4:A187,"M0")</f>
        <v/>
      </c>
      <c r="D15" s="12">
        <f>AVERAGEIFS('01_Datos_brutos'!L4:L187,'01_Datos_brutos'!A4:A187,"M0")</f>
        <v/>
      </c>
      <c r="E15" s="12">
        <f>STDEV(IF('01_Datos_brutos'!A4:A187="M0",'01_Datos_brutos'!L4:L187))</f>
        <v/>
      </c>
      <c r="F15" s="29">
        <f>IFERROR(E15/D15,"")</f>
        <v/>
      </c>
      <c r="G15" s="12">
        <f>MINIFS('01_Datos_brutos'!L4:L187,'01_Datos_brutos'!A4:A187,"M0")</f>
        <v/>
      </c>
      <c r="H15" s="12">
        <f>PERCENTILE(IF('01_Datos_brutos'!A4:A187="M0",'01_Datos_brutos'!L4:L187),0.25)</f>
        <v/>
      </c>
      <c r="I15" s="12">
        <f>PERCENTILE(IF('01_Datos_brutos'!A4:A187="M0",'01_Datos_brutos'!L4:L187),0.5)</f>
        <v/>
      </c>
      <c r="J15" s="12">
        <f>PERCENTILE(IF('01_Datos_brutos'!A4:A187="M0",'01_Datos_brutos'!L4:L187),0.75)</f>
        <v/>
      </c>
      <c r="K15" s="12">
        <f>MAXIFS('01_Datos_brutos'!L4:L187,'01_Datos_brutos'!A4:A187,"M0")</f>
        <v/>
      </c>
      <c r="L15" s="29">
        <f>J15-H15</f>
        <v/>
      </c>
    </row>
    <row r="16">
      <c r="A16" s="26" t="inlineStr">
        <is>
          <t>M0</t>
        </is>
      </c>
      <c r="B16" s="27" t="inlineStr">
        <is>
          <t>VelMax_mps</t>
        </is>
      </c>
      <c r="C16" s="28">
        <f>COUNTIFS('01_Datos_brutos'!A4:A187,"M0")</f>
        <v/>
      </c>
      <c r="D16" s="12">
        <f>AVERAGEIFS('01_Datos_brutos'!N4:N187,'01_Datos_brutos'!A4:A187,"M0")</f>
        <v/>
      </c>
      <c r="E16" s="12">
        <f>STDEV(IF('01_Datos_brutos'!A4:A187="M0",'01_Datos_brutos'!N4:N187))</f>
        <v/>
      </c>
      <c r="F16" s="29">
        <f>IFERROR(E16/D16,"")</f>
        <v/>
      </c>
      <c r="G16" s="12">
        <f>MINIFS('01_Datos_brutos'!N4:N187,'01_Datos_brutos'!A4:A187,"M0")</f>
        <v/>
      </c>
      <c r="H16" s="12">
        <f>PERCENTILE(IF('01_Datos_brutos'!A4:A187="M0",'01_Datos_brutos'!N4:N187),0.25)</f>
        <v/>
      </c>
      <c r="I16" s="12">
        <f>PERCENTILE(IF('01_Datos_brutos'!A4:A187="M0",'01_Datos_brutos'!N4:N187),0.5)</f>
        <v/>
      </c>
      <c r="J16" s="12">
        <f>PERCENTILE(IF('01_Datos_brutos'!A4:A187="M0",'01_Datos_brutos'!N4:N187),0.75)</f>
        <v/>
      </c>
      <c r="K16" s="12">
        <f>MAXIFS('01_Datos_brutos'!N4:N187,'01_Datos_brutos'!A4:A187,"M0")</f>
        <v/>
      </c>
      <c r="L16" s="29">
        <f>J16-H16</f>
        <v/>
      </c>
    </row>
    <row r="17">
      <c r="A17" s="26" t="inlineStr">
        <is>
          <t>M0</t>
        </is>
      </c>
      <c r="B17" s="27" t="inlineStr">
        <is>
          <t>VelStd_mps</t>
        </is>
      </c>
      <c r="C17" s="28">
        <f>COUNTIFS('01_Datos_brutos'!A4:A187,"M0")</f>
        <v/>
      </c>
      <c r="D17" s="12">
        <f>AVERAGEIFS('01_Datos_brutos'!O4:O187,'01_Datos_brutos'!A4:A187,"M0")</f>
        <v/>
      </c>
      <c r="E17" s="12">
        <f>STDEV(IF('01_Datos_brutos'!A4:A187="M0",'01_Datos_brutos'!O4:O187))</f>
        <v/>
      </c>
      <c r="F17" s="29">
        <f>IFERROR(E17/D17,"")</f>
        <v/>
      </c>
      <c r="G17" s="12">
        <f>MINIFS('01_Datos_brutos'!O4:O187,'01_Datos_brutos'!A4:A187,"M0")</f>
        <v/>
      </c>
      <c r="H17" s="12">
        <f>PERCENTILE(IF('01_Datos_brutos'!A4:A187="M0",'01_Datos_brutos'!O4:O187),0.25)</f>
        <v/>
      </c>
      <c r="I17" s="12">
        <f>PERCENTILE(IF('01_Datos_brutos'!A4:A187="M0",'01_Datos_brutos'!O4:O187),0.5)</f>
        <v/>
      </c>
      <c r="J17" s="12">
        <f>PERCENTILE(IF('01_Datos_brutos'!A4:A187="M0",'01_Datos_brutos'!O4:O187),0.75)</f>
        <v/>
      </c>
      <c r="K17" s="12">
        <f>MAXIFS('01_Datos_brutos'!O4:O187,'01_Datos_brutos'!A4:A187,"M0")</f>
        <v/>
      </c>
      <c r="L17" s="29">
        <f>J17-H17</f>
        <v/>
      </c>
    </row>
    <row r="18">
      <c r="A18" s="26" t="inlineStr">
        <is>
          <t>M0</t>
        </is>
      </c>
      <c r="B18" s="27" t="inlineStr">
        <is>
          <t>AccMax_mps2</t>
        </is>
      </c>
      <c r="C18" s="28">
        <f>COUNTIFS('01_Datos_brutos'!A4:A187,"M0")</f>
        <v/>
      </c>
      <c r="D18" s="12">
        <f>AVERAGEIFS('01_Datos_brutos'!P4:P187,'01_Datos_brutos'!A4:A187,"M0")</f>
        <v/>
      </c>
      <c r="E18" s="12">
        <f>STDEV(IF('01_Datos_brutos'!A4:A187="M0",'01_Datos_brutos'!P4:P187))</f>
        <v/>
      </c>
      <c r="F18" s="29">
        <f>IFERROR(E18/D18,"")</f>
        <v/>
      </c>
      <c r="G18" s="12">
        <f>MINIFS('01_Datos_brutos'!P4:P187,'01_Datos_brutos'!A4:A187,"M0")</f>
        <v/>
      </c>
      <c r="H18" s="12">
        <f>PERCENTILE(IF('01_Datos_brutos'!A4:A187="M0",'01_Datos_brutos'!P4:P187),0.25)</f>
        <v/>
      </c>
      <c r="I18" s="12">
        <f>PERCENTILE(IF('01_Datos_brutos'!A4:A187="M0",'01_Datos_brutos'!P4:P187),0.5)</f>
        <v/>
      </c>
      <c r="J18" s="12">
        <f>PERCENTILE(IF('01_Datos_brutos'!A4:A187="M0",'01_Datos_brutos'!P4:P187),0.75)</f>
        <v/>
      </c>
      <c r="K18" s="12">
        <f>MAXIFS('01_Datos_brutos'!P4:P187,'01_Datos_brutos'!A4:A187,"M0")</f>
        <v/>
      </c>
      <c r="L18" s="29">
        <f>J18-H18</f>
        <v/>
      </c>
    </row>
    <row r="19">
      <c r="A19" s="26" t="inlineStr">
        <is>
          <t>M0</t>
        </is>
      </c>
      <c r="B19" s="27" t="inlineStr">
        <is>
          <t>AccRMS_mps2</t>
        </is>
      </c>
      <c r="C19" s="28">
        <f>COUNTIFS('01_Datos_brutos'!A4:A187,"M0")</f>
        <v/>
      </c>
      <c r="D19" s="12">
        <f>AVERAGEIFS('01_Datos_brutos'!Q4:Q187,'01_Datos_brutos'!A4:A187,"M0")</f>
        <v/>
      </c>
      <c r="E19" s="12">
        <f>STDEV(IF('01_Datos_brutos'!A4:A187="M0",'01_Datos_brutos'!Q4:Q187))</f>
        <v/>
      </c>
      <c r="F19" s="29">
        <f>IFERROR(E19/D19,"")</f>
        <v/>
      </c>
      <c r="G19" s="12">
        <f>MINIFS('01_Datos_brutos'!Q4:Q187,'01_Datos_brutos'!A4:A187,"M0")</f>
        <v/>
      </c>
      <c r="H19" s="12">
        <f>PERCENTILE(IF('01_Datos_brutos'!A4:A187="M0",'01_Datos_brutos'!Q4:Q187),0.25)</f>
        <v/>
      </c>
      <c r="I19" s="12">
        <f>PERCENTILE(IF('01_Datos_brutos'!A4:A187="M0",'01_Datos_brutos'!Q4:Q187),0.5)</f>
        <v/>
      </c>
      <c r="J19" s="12">
        <f>PERCENTILE(IF('01_Datos_brutos'!A4:A187="M0",'01_Datos_brutos'!Q4:Q187),0.75)</f>
        <v/>
      </c>
      <c r="K19" s="12">
        <f>MAXIFS('01_Datos_brutos'!Q4:Q187,'01_Datos_brutos'!A4:A187,"M0")</f>
        <v/>
      </c>
      <c r="L19" s="29">
        <f>J19-H19</f>
        <v/>
      </c>
    </row>
    <row r="20">
      <c r="A20" s="26" t="inlineStr">
        <is>
          <t>M0</t>
        </is>
      </c>
      <c r="B20" s="27" t="inlineStr">
        <is>
          <t>NumeroStops</t>
        </is>
      </c>
      <c r="C20" s="28">
        <f>COUNTIFS('01_Datos_brutos'!A4:A187,"M0")</f>
        <v/>
      </c>
      <c r="D20" s="12">
        <f>AVERAGEIFS('01_Datos_brutos'!V4:V187,'01_Datos_brutos'!A4:A187,"M0")</f>
        <v/>
      </c>
      <c r="E20" s="12">
        <f>STDEV(IF('01_Datos_brutos'!A4:A187="M0",'01_Datos_brutos'!V4:V187))</f>
        <v/>
      </c>
      <c r="F20" s="29">
        <f>IFERROR(E20/D20,"")</f>
        <v/>
      </c>
      <c r="G20" s="12">
        <f>MINIFS('01_Datos_brutos'!V4:V187,'01_Datos_brutos'!A4:A187,"M0")</f>
        <v/>
      </c>
      <c r="H20" s="12">
        <f>PERCENTILE(IF('01_Datos_brutos'!A4:A187="M0",'01_Datos_brutos'!V4:V187),0.25)</f>
        <v/>
      </c>
      <c r="I20" s="12">
        <f>PERCENTILE(IF('01_Datos_brutos'!A4:A187="M0",'01_Datos_brutos'!V4:V187),0.5)</f>
        <v/>
      </c>
      <c r="J20" s="12">
        <f>PERCENTILE(IF('01_Datos_brutos'!A4:A187="M0",'01_Datos_brutos'!V4:V187),0.75)</f>
        <v/>
      </c>
      <c r="K20" s="12">
        <f>MAXIFS('01_Datos_brutos'!V4:V187,'01_Datos_brutos'!A4:A187,"M0")</f>
        <v/>
      </c>
      <c r="L20" s="29">
        <f>J20-H20</f>
        <v/>
      </c>
    </row>
    <row r="21">
      <c r="A21" s="26" t="inlineStr">
        <is>
          <t>M0</t>
        </is>
      </c>
      <c r="B21" s="27" t="inlineStr">
        <is>
          <t>TiempoStop_s</t>
        </is>
      </c>
      <c r="C21" s="28">
        <f>COUNTIFS('01_Datos_brutos'!A4:A187,"M0")</f>
        <v/>
      </c>
      <c r="D21" s="12">
        <f>AVERAGEIFS('01_Datos_brutos'!U4:U187,'01_Datos_brutos'!A4:A187,"M0")</f>
        <v/>
      </c>
      <c r="E21" s="12">
        <f>STDEV(IF('01_Datos_brutos'!A4:A187="M0",'01_Datos_brutos'!U4:U187))</f>
        <v/>
      </c>
      <c r="F21" s="29">
        <f>IFERROR(E21/D21,"")</f>
        <v/>
      </c>
      <c r="G21" s="12">
        <f>MINIFS('01_Datos_brutos'!U4:U187,'01_Datos_brutos'!A4:A187,"M0")</f>
        <v/>
      </c>
      <c r="H21" s="12">
        <f>PERCENTILE(IF('01_Datos_brutos'!A4:A187="M0",'01_Datos_brutos'!U4:U187),0.25)</f>
        <v/>
      </c>
      <c r="I21" s="12">
        <f>PERCENTILE(IF('01_Datos_brutos'!A4:A187="M0",'01_Datos_brutos'!U4:U187),0.5)</f>
        <v/>
      </c>
      <c r="J21" s="12">
        <f>PERCENTILE(IF('01_Datos_brutos'!A4:A187="M0",'01_Datos_brutos'!U4:U187),0.75)</f>
        <v/>
      </c>
      <c r="K21" s="12">
        <f>MAXIFS('01_Datos_brutos'!U4:U187,'01_Datos_brutos'!A4:A187,"M0")</f>
        <v/>
      </c>
      <c r="L21" s="29">
        <f>J21-H21</f>
        <v/>
      </c>
    </row>
    <row r="22">
      <c r="A22" s="26" t="inlineStr">
        <is>
          <t>M0</t>
        </is>
      </c>
      <c r="B22" s="27" t="inlineStr">
        <is>
          <t>EficienciaTrayectoria</t>
        </is>
      </c>
      <c r="C22" s="28">
        <f>COUNTIFS('01_Datos_brutos'!A4:A187,"M0")</f>
        <v/>
      </c>
      <c r="D22" s="12">
        <f>AVERAGEIFS('01_Datos_brutos'!W4:W187,'01_Datos_brutos'!A4:A187,"M0")</f>
        <v/>
      </c>
      <c r="E22" s="12">
        <f>STDEV(IF('01_Datos_brutos'!A4:A187="M0",'01_Datos_brutos'!W4:W187))</f>
        <v/>
      </c>
      <c r="F22" s="29">
        <f>IFERROR(E22/D22,"")</f>
        <v/>
      </c>
      <c r="G22" s="12">
        <f>MINIFS('01_Datos_brutos'!W4:W187,'01_Datos_brutos'!A4:A187,"M0")</f>
        <v/>
      </c>
      <c r="H22" s="12">
        <f>PERCENTILE(IF('01_Datos_brutos'!A4:A187="M0",'01_Datos_brutos'!W4:W187),0.25)</f>
        <v/>
      </c>
      <c r="I22" s="12">
        <f>PERCENTILE(IF('01_Datos_brutos'!A4:A187="M0",'01_Datos_brutos'!W4:W187),0.5)</f>
        <v/>
      </c>
      <c r="J22" s="12">
        <f>PERCENTILE(IF('01_Datos_brutos'!A4:A187="M0",'01_Datos_brutos'!W4:W187),0.75)</f>
        <v/>
      </c>
      <c r="K22" s="12">
        <f>MAXIFS('01_Datos_brutos'!W4:W187,'01_Datos_brutos'!A4:A187,"M0")</f>
        <v/>
      </c>
      <c r="L22" s="29">
        <f>J22-H22</f>
        <v/>
      </c>
    </row>
    <row r="23">
      <c r="A23" s="26" t="inlineStr">
        <is>
          <t>M1</t>
        </is>
      </c>
      <c r="B23" s="27" t="inlineStr">
        <is>
          <t>DistMin_m</t>
        </is>
      </c>
      <c r="C23" s="28">
        <f>COUNTIFS('01_Datos_brutos'!A4:A187,"M1")</f>
        <v/>
      </c>
      <c r="D23" s="12">
        <f>AVERAGEIFS('01_Datos_brutos'!G4:G187,'01_Datos_brutos'!A4:A187,"M1")</f>
        <v/>
      </c>
      <c r="E23" s="12">
        <f>STDEV(IF('01_Datos_brutos'!A4:A187="M1",'01_Datos_brutos'!G4:G187))</f>
        <v/>
      </c>
      <c r="F23" s="29">
        <f>IFERROR(E23/D23,"")</f>
        <v/>
      </c>
      <c r="G23" s="12">
        <f>MINIFS('01_Datos_brutos'!G4:G187,'01_Datos_brutos'!A4:A187,"M1")</f>
        <v/>
      </c>
      <c r="H23" s="12">
        <f>PERCENTILE(IF('01_Datos_brutos'!A4:A187="M1",'01_Datos_brutos'!G4:G187),0.25)</f>
        <v/>
      </c>
      <c r="I23" s="12">
        <f>PERCENTILE(IF('01_Datos_brutos'!A4:A187="M1",'01_Datos_brutos'!G4:G187),0.5)</f>
        <v/>
      </c>
      <c r="J23" s="12">
        <f>PERCENTILE(IF('01_Datos_brutos'!A4:A187="M1",'01_Datos_brutos'!G4:G187),0.75)</f>
        <v/>
      </c>
      <c r="K23" s="12">
        <f>MAXIFS('01_Datos_brutos'!G4:G187,'01_Datos_brutos'!A4:A187,"M1")</f>
        <v/>
      </c>
      <c r="L23" s="29">
        <f>J23-H23</f>
        <v/>
      </c>
    </row>
    <row r="24">
      <c r="A24" s="26" t="inlineStr">
        <is>
          <t>M1</t>
        </is>
      </c>
      <c r="B24" s="27" t="inlineStr">
        <is>
          <t>DistMedia_m</t>
        </is>
      </c>
      <c r="C24" s="28">
        <f>COUNTIFS('01_Datos_brutos'!A4:A187,"M1")</f>
        <v/>
      </c>
      <c r="D24" s="12">
        <f>AVERAGEIFS('01_Datos_brutos'!H4:H187,'01_Datos_brutos'!A4:A187,"M1")</f>
        <v/>
      </c>
      <c r="E24" s="12">
        <f>STDEV(IF('01_Datos_brutos'!A4:A187="M1",'01_Datos_brutos'!H4:H187))</f>
        <v/>
      </c>
      <c r="F24" s="29">
        <f>IFERROR(E24/D24,"")</f>
        <v/>
      </c>
      <c r="G24" s="12">
        <f>MINIFS('01_Datos_brutos'!H4:H187,'01_Datos_brutos'!A4:A187,"M1")</f>
        <v/>
      </c>
      <c r="H24" s="12">
        <f>PERCENTILE(IF('01_Datos_brutos'!A4:A187="M1",'01_Datos_brutos'!H4:H187),0.25)</f>
        <v/>
      </c>
      <c r="I24" s="12">
        <f>PERCENTILE(IF('01_Datos_brutos'!A4:A187="M1",'01_Datos_brutos'!H4:H187),0.5)</f>
        <v/>
      </c>
      <c r="J24" s="12">
        <f>PERCENTILE(IF('01_Datos_brutos'!A4:A187="M1",'01_Datos_brutos'!H4:H187),0.75)</f>
        <v/>
      </c>
      <c r="K24" s="12">
        <f>MAXIFS('01_Datos_brutos'!H4:H187,'01_Datos_brutos'!A4:A187,"M1")</f>
        <v/>
      </c>
      <c r="L24" s="29">
        <f>J24-H24</f>
        <v/>
      </c>
    </row>
    <row r="25">
      <c r="A25" s="26" t="inlineStr">
        <is>
          <t>M1</t>
        </is>
      </c>
      <c r="B25" s="27" t="inlineStr">
        <is>
          <t>DistP05_m</t>
        </is>
      </c>
      <c r="C25" s="28">
        <f>COUNTIFS('01_Datos_brutos'!A4:A187,"M1")</f>
        <v/>
      </c>
      <c r="D25" s="12">
        <f>AVERAGEIFS('01_Datos_brutos'!J4:J187,'01_Datos_brutos'!A4:A187,"M1")</f>
        <v/>
      </c>
      <c r="E25" s="12">
        <f>STDEV(IF('01_Datos_brutos'!A4:A187="M1",'01_Datos_brutos'!J4:J187))</f>
        <v/>
      </c>
      <c r="F25" s="29">
        <f>IFERROR(E25/D25,"")</f>
        <v/>
      </c>
      <c r="G25" s="12">
        <f>MINIFS('01_Datos_brutos'!J4:J187,'01_Datos_brutos'!A4:A187,"M1")</f>
        <v/>
      </c>
      <c r="H25" s="12">
        <f>PERCENTILE(IF('01_Datos_brutos'!A4:A187="M1",'01_Datos_brutos'!J4:J187),0.25)</f>
        <v/>
      </c>
      <c r="I25" s="12">
        <f>PERCENTILE(IF('01_Datos_brutos'!A4:A187="M1",'01_Datos_brutos'!J4:J187),0.5)</f>
        <v/>
      </c>
      <c r="J25" s="12">
        <f>PERCENTILE(IF('01_Datos_brutos'!A4:A187="M1",'01_Datos_brutos'!J4:J187),0.75)</f>
        <v/>
      </c>
      <c r="K25" s="12">
        <f>MAXIFS('01_Datos_brutos'!J4:J187,'01_Datos_brutos'!A4:A187,"M1")</f>
        <v/>
      </c>
      <c r="L25" s="29">
        <f>J25-H25</f>
        <v/>
      </c>
    </row>
    <row r="26">
      <c r="A26" s="26" t="inlineStr">
        <is>
          <t>M1</t>
        </is>
      </c>
      <c r="B26" s="27" t="inlineStr">
        <is>
          <t>TiempoPersonal_s</t>
        </is>
      </c>
      <c r="C26" s="28">
        <f>COUNTIFS('01_Datos_brutos'!A4:A187,"M1")</f>
        <v/>
      </c>
      <c r="D26" s="12">
        <f>AVERAGEIFS('01_Datos_brutos'!S4:S187,'01_Datos_brutos'!A4:A187,"M1")</f>
        <v/>
      </c>
      <c r="E26" s="12">
        <f>STDEV(IF('01_Datos_brutos'!A4:A187="M1",'01_Datos_brutos'!S4:S187))</f>
        <v/>
      </c>
      <c r="F26" s="29">
        <f>IFERROR(E26/D26,"")</f>
        <v/>
      </c>
      <c r="G26" s="12">
        <f>MINIFS('01_Datos_brutos'!S4:S187,'01_Datos_brutos'!A4:A187,"M1")</f>
        <v/>
      </c>
      <c r="H26" s="12">
        <f>PERCENTILE(IF('01_Datos_brutos'!A4:A187="M1",'01_Datos_brutos'!S4:S187),0.25)</f>
        <v/>
      </c>
      <c r="I26" s="12">
        <f>PERCENTILE(IF('01_Datos_brutos'!A4:A187="M1",'01_Datos_brutos'!S4:S187),0.5)</f>
        <v/>
      </c>
      <c r="J26" s="12">
        <f>PERCENTILE(IF('01_Datos_brutos'!A4:A187="M1",'01_Datos_brutos'!S4:S187),0.75)</f>
        <v/>
      </c>
      <c r="K26" s="12">
        <f>MAXIFS('01_Datos_brutos'!S4:S187,'01_Datos_brutos'!A4:A187,"M1")</f>
        <v/>
      </c>
      <c r="L26" s="29">
        <f>J26-H26</f>
        <v/>
      </c>
    </row>
    <row r="27">
      <c r="A27" s="26" t="inlineStr">
        <is>
          <t>M1</t>
        </is>
      </c>
      <c r="B27" s="27" t="inlineStr">
        <is>
          <t>TiempoIntima_s</t>
        </is>
      </c>
      <c r="C27" s="28">
        <f>COUNTIFS('01_Datos_brutos'!A4:A187,"M1")</f>
        <v/>
      </c>
      <c r="D27" s="12">
        <f>AVERAGEIFS('01_Datos_brutos'!T4:T187,'01_Datos_brutos'!A4:A187,"M1")</f>
        <v/>
      </c>
      <c r="E27" s="12">
        <f>STDEV(IF('01_Datos_brutos'!A4:A187="M1",'01_Datos_brutos'!T4:T187))</f>
        <v/>
      </c>
      <c r="F27" s="29">
        <f>IFERROR(E27/D27,"")</f>
        <v/>
      </c>
      <c r="G27" s="12">
        <f>MINIFS('01_Datos_brutos'!T4:T187,'01_Datos_brutos'!A4:A187,"M1")</f>
        <v/>
      </c>
      <c r="H27" s="12">
        <f>PERCENTILE(IF('01_Datos_brutos'!A4:A187="M1",'01_Datos_brutos'!T4:T187),0.25)</f>
        <v/>
      </c>
      <c r="I27" s="12">
        <f>PERCENTILE(IF('01_Datos_brutos'!A4:A187="M1",'01_Datos_brutos'!T4:T187),0.5)</f>
        <v/>
      </c>
      <c r="J27" s="12">
        <f>PERCENTILE(IF('01_Datos_brutos'!A4:A187="M1",'01_Datos_brutos'!T4:T187),0.75)</f>
        <v/>
      </c>
      <c r="K27" s="12">
        <f>MAXIFS('01_Datos_brutos'!T4:T187,'01_Datos_brutos'!A4:A187,"M1")</f>
        <v/>
      </c>
      <c r="L27" s="29">
        <f>J27-H27</f>
        <v/>
      </c>
    </row>
    <row r="28">
      <c r="A28" s="26" t="inlineStr">
        <is>
          <t>M1</t>
        </is>
      </c>
      <c r="B28" s="27" t="inlineStr">
        <is>
          <t>TiempoTotal_s</t>
        </is>
      </c>
      <c r="C28" s="28">
        <f>COUNTIFS('01_Datos_brutos'!A4:A187,"M1")</f>
        <v/>
      </c>
      <c r="D28" s="12">
        <f>AVERAGEIFS('01_Datos_brutos'!E4:E187,'01_Datos_brutos'!A4:A187,"M1")</f>
        <v/>
      </c>
      <c r="E28" s="12">
        <f>STDEV(IF('01_Datos_brutos'!A4:A187="M1",'01_Datos_brutos'!E4:E187))</f>
        <v/>
      </c>
      <c r="F28" s="29">
        <f>IFERROR(E28/D28,"")</f>
        <v/>
      </c>
      <c r="G28" s="12">
        <f>MINIFS('01_Datos_brutos'!E4:E187,'01_Datos_brutos'!A4:A187,"M1")</f>
        <v/>
      </c>
      <c r="H28" s="12">
        <f>PERCENTILE(IF('01_Datos_brutos'!A4:A187="M1",'01_Datos_brutos'!E4:E187),0.25)</f>
        <v/>
      </c>
      <c r="I28" s="12">
        <f>PERCENTILE(IF('01_Datos_brutos'!A4:A187="M1",'01_Datos_brutos'!E4:E187),0.5)</f>
        <v/>
      </c>
      <c r="J28" s="12">
        <f>PERCENTILE(IF('01_Datos_brutos'!A4:A187="M1",'01_Datos_brutos'!E4:E187),0.75)</f>
        <v/>
      </c>
      <c r="K28" s="12">
        <f>MAXIFS('01_Datos_brutos'!E4:E187,'01_Datos_brutos'!A4:A187,"M1")</f>
        <v/>
      </c>
      <c r="L28" s="29">
        <f>J28-H28</f>
        <v/>
      </c>
    </row>
    <row r="29">
      <c r="A29" s="26" t="inlineStr">
        <is>
          <t>M1</t>
        </is>
      </c>
      <c r="B29" s="27" t="inlineStr">
        <is>
          <t>LongitudTrayectoria_m</t>
        </is>
      </c>
      <c r="C29" s="28">
        <f>COUNTIFS('01_Datos_brutos'!A4:A187,"M1")</f>
        <v/>
      </c>
      <c r="D29" s="12">
        <f>AVERAGEIFS('01_Datos_brutos'!F4:F187,'01_Datos_brutos'!A4:A187,"M1")</f>
        <v/>
      </c>
      <c r="E29" s="12">
        <f>STDEV(IF('01_Datos_brutos'!A4:A187="M1",'01_Datos_brutos'!F4:F187))</f>
        <v/>
      </c>
      <c r="F29" s="29">
        <f>IFERROR(E29/D29,"")</f>
        <v/>
      </c>
      <c r="G29" s="12">
        <f>MINIFS('01_Datos_brutos'!F4:F187,'01_Datos_brutos'!A4:A187,"M1")</f>
        <v/>
      </c>
      <c r="H29" s="12">
        <f>PERCENTILE(IF('01_Datos_brutos'!A4:A187="M1",'01_Datos_brutos'!F4:F187),0.25)</f>
        <v/>
      </c>
      <c r="I29" s="12">
        <f>PERCENTILE(IF('01_Datos_brutos'!A4:A187="M1",'01_Datos_brutos'!F4:F187),0.5)</f>
        <v/>
      </c>
      <c r="J29" s="12">
        <f>PERCENTILE(IF('01_Datos_brutos'!A4:A187="M1",'01_Datos_brutos'!F4:F187),0.75)</f>
        <v/>
      </c>
      <c r="K29" s="12">
        <f>MAXIFS('01_Datos_brutos'!F4:F187,'01_Datos_brutos'!A4:A187,"M1")</f>
        <v/>
      </c>
      <c r="L29" s="29">
        <f>J29-H29</f>
        <v/>
      </c>
    </row>
    <row r="30">
      <c r="A30" s="26" t="inlineStr">
        <is>
          <t>M1</t>
        </is>
      </c>
      <c r="B30" s="27" t="inlineStr">
        <is>
          <t>VelMedia_mps</t>
        </is>
      </c>
      <c r="C30" s="28">
        <f>COUNTIFS('01_Datos_brutos'!A4:A187,"M1")</f>
        <v/>
      </c>
      <c r="D30" s="12">
        <f>AVERAGEIFS('01_Datos_brutos'!L4:L187,'01_Datos_brutos'!A4:A187,"M1")</f>
        <v/>
      </c>
      <c r="E30" s="12">
        <f>STDEV(IF('01_Datos_brutos'!A4:A187="M1",'01_Datos_brutos'!L4:L187))</f>
        <v/>
      </c>
      <c r="F30" s="29">
        <f>IFERROR(E30/D30,"")</f>
        <v/>
      </c>
      <c r="G30" s="12">
        <f>MINIFS('01_Datos_brutos'!L4:L187,'01_Datos_brutos'!A4:A187,"M1")</f>
        <v/>
      </c>
      <c r="H30" s="12">
        <f>PERCENTILE(IF('01_Datos_brutos'!A4:A187="M1",'01_Datos_brutos'!L4:L187),0.25)</f>
        <v/>
      </c>
      <c r="I30" s="12">
        <f>PERCENTILE(IF('01_Datos_brutos'!A4:A187="M1",'01_Datos_brutos'!L4:L187),0.5)</f>
        <v/>
      </c>
      <c r="J30" s="12">
        <f>PERCENTILE(IF('01_Datos_brutos'!A4:A187="M1",'01_Datos_brutos'!L4:L187),0.75)</f>
        <v/>
      </c>
      <c r="K30" s="12">
        <f>MAXIFS('01_Datos_brutos'!L4:L187,'01_Datos_brutos'!A4:A187,"M1")</f>
        <v/>
      </c>
      <c r="L30" s="29">
        <f>J30-H30</f>
        <v/>
      </c>
    </row>
    <row r="31">
      <c r="A31" s="26" t="inlineStr">
        <is>
          <t>M1</t>
        </is>
      </c>
      <c r="B31" s="27" t="inlineStr">
        <is>
          <t>VelMax_mps</t>
        </is>
      </c>
      <c r="C31" s="28">
        <f>COUNTIFS('01_Datos_brutos'!A4:A187,"M1")</f>
        <v/>
      </c>
      <c r="D31" s="12">
        <f>AVERAGEIFS('01_Datos_brutos'!N4:N187,'01_Datos_brutos'!A4:A187,"M1")</f>
        <v/>
      </c>
      <c r="E31" s="12">
        <f>STDEV(IF('01_Datos_brutos'!A4:A187="M1",'01_Datos_brutos'!N4:N187))</f>
        <v/>
      </c>
      <c r="F31" s="29">
        <f>IFERROR(E31/D31,"")</f>
        <v/>
      </c>
      <c r="G31" s="12">
        <f>MINIFS('01_Datos_brutos'!N4:N187,'01_Datos_brutos'!A4:A187,"M1")</f>
        <v/>
      </c>
      <c r="H31" s="12">
        <f>PERCENTILE(IF('01_Datos_brutos'!A4:A187="M1",'01_Datos_brutos'!N4:N187),0.25)</f>
        <v/>
      </c>
      <c r="I31" s="12">
        <f>PERCENTILE(IF('01_Datos_brutos'!A4:A187="M1",'01_Datos_brutos'!N4:N187),0.5)</f>
        <v/>
      </c>
      <c r="J31" s="12">
        <f>PERCENTILE(IF('01_Datos_brutos'!A4:A187="M1",'01_Datos_brutos'!N4:N187),0.75)</f>
        <v/>
      </c>
      <c r="K31" s="12">
        <f>MAXIFS('01_Datos_brutos'!N4:N187,'01_Datos_brutos'!A4:A187,"M1")</f>
        <v/>
      </c>
      <c r="L31" s="29">
        <f>J31-H31</f>
        <v/>
      </c>
    </row>
    <row r="32">
      <c r="A32" s="26" t="inlineStr">
        <is>
          <t>M1</t>
        </is>
      </c>
      <c r="B32" s="27" t="inlineStr">
        <is>
          <t>VelStd_mps</t>
        </is>
      </c>
      <c r="C32" s="28">
        <f>COUNTIFS('01_Datos_brutos'!A4:A187,"M1")</f>
        <v/>
      </c>
      <c r="D32" s="12">
        <f>AVERAGEIFS('01_Datos_brutos'!O4:O187,'01_Datos_brutos'!A4:A187,"M1")</f>
        <v/>
      </c>
      <c r="E32" s="12">
        <f>STDEV(IF('01_Datos_brutos'!A4:A187="M1",'01_Datos_brutos'!O4:O187))</f>
        <v/>
      </c>
      <c r="F32" s="29">
        <f>IFERROR(E32/D32,"")</f>
        <v/>
      </c>
      <c r="G32" s="12">
        <f>MINIFS('01_Datos_brutos'!O4:O187,'01_Datos_brutos'!A4:A187,"M1")</f>
        <v/>
      </c>
      <c r="H32" s="12">
        <f>PERCENTILE(IF('01_Datos_brutos'!A4:A187="M1",'01_Datos_brutos'!O4:O187),0.25)</f>
        <v/>
      </c>
      <c r="I32" s="12">
        <f>PERCENTILE(IF('01_Datos_brutos'!A4:A187="M1",'01_Datos_brutos'!O4:O187),0.5)</f>
        <v/>
      </c>
      <c r="J32" s="12">
        <f>PERCENTILE(IF('01_Datos_brutos'!A4:A187="M1",'01_Datos_brutos'!O4:O187),0.75)</f>
        <v/>
      </c>
      <c r="K32" s="12">
        <f>MAXIFS('01_Datos_brutos'!O4:O187,'01_Datos_brutos'!A4:A187,"M1")</f>
        <v/>
      </c>
      <c r="L32" s="29">
        <f>J32-H32</f>
        <v/>
      </c>
    </row>
    <row r="33">
      <c r="A33" s="26" t="inlineStr">
        <is>
          <t>M1</t>
        </is>
      </c>
      <c r="B33" s="27" t="inlineStr">
        <is>
          <t>AccMax_mps2</t>
        </is>
      </c>
      <c r="C33" s="28">
        <f>COUNTIFS('01_Datos_brutos'!A4:A187,"M1")</f>
        <v/>
      </c>
      <c r="D33" s="12">
        <f>AVERAGEIFS('01_Datos_brutos'!P4:P187,'01_Datos_brutos'!A4:A187,"M1")</f>
        <v/>
      </c>
      <c r="E33" s="12">
        <f>STDEV(IF('01_Datos_brutos'!A4:A187="M1",'01_Datos_brutos'!P4:P187))</f>
        <v/>
      </c>
      <c r="F33" s="29">
        <f>IFERROR(E33/D33,"")</f>
        <v/>
      </c>
      <c r="G33" s="12">
        <f>MINIFS('01_Datos_brutos'!P4:P187,'01_Datos_brutos'!A4:A187,"M1")</f>
        <v/>
      </c>
      <c r="H33" s="12">
        <f>PERCENTILE(IF('01_Datos_brutos'!A4:A187="M1",'01_Datos_brutos'!P4:P187),0.25)</f>
        <v/>
      </c>
      <c r="I33" s="12">
        <f>PERCENTILE(IF('01_Datos_brutos'!A4:A187="M1",'01_Datos_brutos'!P4:P187),0.5)</f>
        <v/>
      </c>
      <c r="J33" s="12">
        <f>PERCENTILE(IF('01_Datos_brutos'!A4:A187="M1",'01_Datos_brutos'!P4:P187),0.75)</f>
        <v/>
      </c>
      <c r="K33" s="12">
        <f>MAXIFS('01_Datos_brutos'!P4:P187,'01_Datos_brutos'!A4:A187,"M1")</f>
        <v/>
      </c>
      <c r="L33" s="29">
        <f>J33-H33</f>
        <v/>
      </c>
    </row>
    <row r="34">
      <c r="A34" s="26" t="inlineStr">
        <is>
          <t>M1</t>
        </is>
      </c>
      <c r="B34" s="27" t="inlineStr">
        <is>
          <t>AccRMS_mps2</t>
        </is>
      </c>
      <c r="C34" s="28">
        <f>COUNTIFS('01_Datos_brutos'!A4:A187,"M1")</f>
        <v/>
      </c>
      <c r="D34" s="12">
        <f>AVERAGEIFS('01_Datos_brutos'!Q4:Q187,'01_Datos_brutos'!A4:A187,"M1")</f>
        <v/>
      </c>
      <c r="E34" s="12">
        <f>STDEV(IF('01_Datos_brutos'!A4:A187="M1",'01_Datos_brutos'!Q4:Q187))</f>
        <v/>
      </c>
      <c r="F34" s="29">
        <f>IFERROR(E34/D34,"")</f>
        <v/>
      </c>
      <c r="G34" s="12">
        <f>MINIFS('01_Datos_brutos'!Q4:Q187,'01_Datos_brutos'!A4:A187,"M1")</f>
        <v/>
      </c>
      <c r="H34" s="12">
        <f>PERCENTILE(IF('01_Datos_brutos'!A4:A187="M1",'01_Datos_brutos'!Q4:Q187),0.25)</f>
        <v/>
      </c>
      <c r="I34" s="12">
        <f>PERCENTILE(IF('01_Datos_brutos'!A4:A187="M1",'01_Datos_brutos'!Q4:Q187),0.5)</f>
        <v/>
      </c>
      <c r="J34" s="12">
        <f>PERCENTILE(IF('01_Datos_brutos'!A4:A187="M1",'01_Datos_brutos'!Q4:Q187),0.75)</f>
        <v/>
      </c>
      <c r="K34" s="12">
        <f>MAXIFS('01_Datos_brutos'!Q4:Q187,'01_Datos_brutos'!A4:A187,"M1")</f>
        <v/>
      </c>
      <c r="L34" s="29">
        <f>J34-H34</f>
        <v/>
      </c>
    </row>
    <row r="35">
      <c r="A35" s="26" t="inlineStr">
        <is>
          <t>M1</t>
        </is>
      </c>
      <c r="B35" s="27" t="inlineStr">
        <is>
          <t>NumeroStops</t>
        </is>
      </c>
      <c r="C35" s="28">
        <f>COUNTIFS('01_Datos_brutos'!A4:A187,"M1")</f>
        <v/>
      </c>
      <c r="D35" s="12">
        <f>AVERAGEIFS('01_Datos_brutos'!V4:V187,'01_Datos_brutos'!A4:A187,"M1")</f>
        <v/>
      </c>
      <c r="E35" s="12">
        <f>STDEV(IF('01_Datos_brutos'!A4:A187="M1",'01_Datos_brutos'!V4:V187))</f>
        <v/>
      </c>
      <c r="F35" s="29">
        <f>IFERROR(E35/D35,"")</f>
        <v/>
      </c>
      <c r="G35" s="12">
        <f>MINIFS('01_Datos_brutos'!V4:V187,'01_Datos_brutos'!A4:A187,"M1")</f>
        <v/>
      </c>
      <c r="H35" s="12">
        <f>PERCENTILE(IF('01_Datos_brutos'!A4:A187="M1",'01_Datos_brutos'!V4:V187),0.25)</f>
        <v/>
      </c>
      <c r="I35" s="12">
        <f>PERCENTILE(IF('01_Datos_brutos'!A4:A187="M1",'01_Datos_brutos'!V4:V187),0.5)</f>
        <v/>
      </c>
      <c r="J35" s="12">
        <f>PERCENTILE(IF('01_Datos_brutos'!A4:A187="M1",'01_Datos_brutos'!V4:V187),0.75)</f>
        <v/>
      </c>
      <c r="K35" s="12">
        <f>MAXIFS('01_Datos_brutos'!V4:V187,'01_Datos_brutos'!A4:A187,"M1")</f>
        <v/>
      </c>
      <c r="L35" s="29">
        <f>J35-H35</f>
        <v/>
      </c>
    </row>
    <row r="36">
      <c r="A36" s="26" t="inlineStr">
        <is>
          <t>M1</t>
        </is>
      </c>
      <c r="B36" s="27" t="inlineStr">
        <is>
          <t>TiempoStop_s</t>
        </is>
      </c>
      <c r="C36" s="28">
        <f>COUNTIFS('01_Datos_brutos'!A4:A187,"M1")</f>
        <v/>
      </c>
      <c r="D36" s="12">
        <f>AVERAGEIFS('01_Datos_brutos'!U4:U187,'01_Datos_brutos'!A4:A187,"M1")</f>
        <v/>
      </c>
      <c r="E36" s="12">
        <f>STDEV(IF('01_Datos_brutos'!A4:A187="M1",'01_Datos_brutos'!U4:U187))</f>
        <v/>
      </c>
      <c r="F36" s="29">
        <f>IFERROR(E36/D36,"")</f>
        <v/>
      </c>
      <c r="G36" s="12">
        <f>MINIFS('01_Datos_brutos'!U4:U187,'01_Datos_brutos'!A4:A187,"M1")</f>
        <v/>
      </c>
      <c r="H36" s="12">
        <f>PERCENTILE(IF('01_Datos_brutos'!A4:A187="M1",'01_Datos_brutos'!U4:U187),0.25)</f>
        <v/>
      </c>
      <c r="I36" s="12">
        <f>PERCENTILE(IF('01_Datos_brutos'!A4:A187="M1",'01_Datos_brutos'!U4:U187),0.5)</f>
        <v/>
      </c>
      <c r="J36" s="12">
        <f>PERCENTILE(IF('01_Datos_brutos'!A4:A187="M1",'01_Datos_brutos'!U4:U187),0.75)</f>
        <v/>
      </c>
      <c r="K36" s="12">
        <f>MAXIFS('01_Datos_brutos'!U4:U187,'01_Datos_brutos'!A4:A187,"M1")</f>
        <v/>
      </c>
      <c r="L36" s="29">
        <f>J36-H36</f>
        <v/>
      </c>
    </row>
    <row r="37">
      <c r="A37" s="26" t="inlineStr">
        <is>
          <t>M1</t>
        </is>
      </c>
      <c r="B37" s="27" t="inlineStr">
        <is>
          <t>EficienciaTrayectoria</t>
        </is>
      </c>
      <c r="C37" s="28">
        <f>COUNTIFS('01_Datos_brutos'!A4:A187,"M1")</f>
        <v/>
      </c>
      <c r="D37" s="12">
        <f>AVERAGEIFS('01_Datos_brutos'!W4:W187,'01_Datos_brutos'!A4:A187,"M1")</f>
        <v/>
      </c>
      <c r="E37" s="12">
        <f>STDEV(IF('01_Datos_brutos'!A4:A187="M1",'01_Datos_brutos'!W4:W187))</f>
        <v/>
      </c>
      <c r="F37" s="29">
        <f>IFERROR(E37/D37,"")</f>
        <v/>
      </c>
      <c r="G37" s="12">
        <f>MINIFS('01_Datos_brutos'!W4:W187,'01_Datos_brutos'!A4:A187,"M1")</f>
        <v/>
      </c>
      <c r="H37" s="12">
        <f>PERCENTILE(IF('01_Datos_brutos'!A4:A187="M1",'01_Datos_brutos'!W4:W187),0.25)</f>
        <v/>
      </c>
      <c r="I37" s="12">
        <f>PERCENTILE(IF('01_Datos_brutos'!A4:A187="M1",'01_Datos_brutos'!W4:W187),0.5)</f>
        <v/>
      </c>
      <c r="J37" s="12">
        <f>PERCENTILE(IF('01_Datos_brutos'!A4:A187="M1",'01_Datos_brutos'!W4:W187),0.75)</f>
        <v/>
      </c>
      <c r="K37" s="12">
        <f>MAXIFS('01_Datos_brutos'!W4:W187,'01_Datos_brutos'!A4:A187,"M1")</f>
        <v/>
      </c>
      <c r="L37" s="29">
        <f>J37-H37</f>
        <v/>
      </c>
    </row>
    <row r="38">
      <c r="A38" s="26" t="inlineStr">
        <is>
          <t>M2</t>
        </is>
      </c>
      <c r="B38" s="27" t="inlineStr">
        <is>
          <t>DistMin_m</t>
        </is>
      </c>
      <c r="C38" s="28">
        <f>COUNTIFS('01_Datos_brutos'!A4:A187,"M2")</f>
        <v/>
      </c>
      <c r="D38" s="12">
        <f>AVERAGEIFS('01_Datos_brutos'!G4:G187,'01_Datos_brutos'!A4:A187,"M2")</f>
        <v/>
      </c>
      <c r="E38" s="12">
        <f>STDEV(IF('01_Datos_brutos'!A4:A187="M2",'01_Datos_brutos'!G4:G187))</f>
        <v/>
      </c>
      <c r="F38" s="29">
        <f>IFERROR(E38/D38,"")</f>
        <v/>
      </c>
      <c r="G38" s="12">
        <f>MINIFS('01_Datos_brutos'!G4:G187,'01_Datos_brutos'!A4:A187,"M2")</f>
        <v/>
      </c>
      <c r="H38" s="12">
        <f>PERCENTILE(IF('01_Datos_brutos'!A4:A187="M2",'01_Datos_brutos'!G4:G187),0.25)</f>
        <v/>
      </c>
      <c r="I38" s="12">
        <f>PERCENTILE(IF('01_Datos_brutos'!A4:A187="M2",'01_Datos_brutos'!G4:G187),0.5)</f>
        <v/>
      </c>
      <c r="J38" s="12">
        <f>PERCENTILE(IF('01_Datos_brutos'!A4:A187="M2",'01_Datos_brutos'!G4:G187),0.75)</f>
        <v/>
      </c>
      <c r="K38" s="12">
        <f>MAXIFS('01_Datos_brutos'!G4:G187,'01_Datos_brutos'!A4:A187,"M2")</f>
        <v/>
      </c>
      <c r="L38" s="29">
        <f>J38-H38</f>
        <v/>
      </c>
    </row>
    <row r="39">
      <c r="A39" s="26" t="inlineStr">
        <is>
          <t>M2</t>
        </is>
      </c>
      <c r="B39" s="27" t="inlineStr">
        <is>
          <t>DistMedia_m</t>
        </is>
      </c>
      <c r="C39" s="28">
        <f>COUNTIFS('01_Datos_brutos'!A4:A187,"M2")</f>
        <v/>
      </c>
      <c r="D39" s="12">
        <f>AVERAGEIFS('01_Datos_brutos'!H4:H187,'01_Datos_brutos'!A4:A187,"M2")</f>
        <v/>
      </c>
      <c r="E39" s="12">
        <f>STDEV(IF('01_Datos_brutos'!A4:A187="M2",'01_Datos_brutos'!H4:H187))</f>
        <v/>
      </c>
      <c r="F39" s="29">
        <f>IFERROR(E39/D39,"")</f>
        <v/>
      </c>
      <c r="G39" s="12">
        <f>MINIFS('01_Datos_brutos'!H4:H187,'01_Datos_brutos'!A4:A187,"M2")</f>
        <v/>
      </c>
      <c r="H39" s="12">
        <f>PERCENTILE(IF('01_Datos_brutos'!A4:A187="M2",'01_Datos_brutos'!H4:H187),0.25)</f>
        <v/>
      </c>
      <c r="I39" s="12">
        <f>PERCENTILE(IF('01_Datos_brutos'!A4:A187="M2",'01_Datos_brutos'!H4:H187),0.5)</f>
        <v/>
      </c>
      <c r="J39" s="12">
        <f>PERCENTILE(IF('01_Datos_brutos'!A4:A187="M2",'01_Datos_brutos'!H4:H187),0.75)</f>
        <v/>
      </c>
      <c r="K39" s="12">
        <f>MAXIFS('01_Datos_brutos'!H4:H187,'01_Datos_brutos'!A4:A187,"M2")</f>
        <v/>
      </c>
      <c r="L39" s="29">
        <f>J39-H39</f>
        <v/>
      </c>
    </row>
    <row r="40">
      <c r="A40" s="26" t="inlineStr">
        <is>
          <t>M2</t>
        </is>
      </c>
      <c r="B40" s="27" t="inlineStr">
        <is>
          <t>DistP05_m</t>
        </is>
      </c>
      <c r="C40" s="28">
        <f>COUNTIFS('01_Datos_brutos'!A4:A187,"M2")</f>
        <v/>
      </c>
      <c r="D40" s="12">
        <f>AVERAGEIFS('01_Datos_brutos'!J4:J187,'01_Datos_brutos'!A4:A187,"M2")</f>
        <v/>
      </c>
      <c r="E40" s="12">
        <f>STDEV(IF('01_Datos_brutos'!A4:A187="M2",'01_Datos_brutos'!J4:J187))</f>
        <v/>
      </c>
      <c r="F40" s="29">
        <f>IFERROR(E40/D40,"")</f>
        <v/>
      </c>
      <c r="G40" s="12">
        <f>MINIFS('01_Datos_brutos'!J4:J187,'01_Datos_brutos'!A4:A187,"M2")</f>
        <v/>
      </c>
      <c r="H40" s="12">
        <f>PERCENTILE(IF('01_Datos_brutos'!A4:A187="M2",'01_Datos_brutos'!J4:J187),0.25)</f>
        <v/>
      </c>
      <c r="I40" s="12">
        <f>PERCENTILE(IF('01_Datos_brutos'!A4:A187="M2",'01_Datos_brutos'!J4:J187),0.5)</f>
        <v/>
      </c>
      <c r="J40" s="12">
        <f>PERCENTILE(IF('01_Datos_brutos'!A4:A187="M2",'01_Datos_brutos'!J4:J187),0.75)</f>
        <v/>
      </c>
      <c r="K40" s="12">
        <f>MAXIFS('01_Datos_brutos'!J4:J187,'01_Datos_brutos'!A4:A187,"M2")</f>
        <v/>
      </c>
      <c r="L40" s="29">
        <f>J40-H40</f>
        <v/>
      </c>
    </row>
    <row r="41">
      <c r="A41" s="26" t="inlineStr">
        <is>
          <t>M2</t>
        </is>
      </c>
      <c r="B41" s="27" t="inlineStr">
        <is>
          <t>TiempoPersonal_s</t>
        </is>
      </c>
      <c r="C41" s="28">
        <f>COUNTIFS('01_Datos_brutos'!A4:A187,"M2")</f>
        <v/>
      </c>
      <c r="D41" s="12">
        <f>AVERAGEIFS('01_Datos_brutos'!S4:S187,'01_Datos_brutos'!A4:A187,"M2")</f>
        <v/>
      </c>
      <c r="E41" s="12">
        <f>STDEV(IF('01_Datos_brutos'!A4:A187="M2",'01_Datos_brutos'!S4:S187))</f>
        <v/>
      </c>
      <c r="F41" s="29">
        <f>IFERROR(E41/D41,"")</f>
        <v/>
      </c>
      <c r="G41" s="12">
        <f>MINIFS('01_Datos_brutos'!S4:S187,'01_Datos_brutos'!A4:A187,"M2")</f>
        <v/>
      </c>
      <c r="H41" s="12">
        <f>PERCENTILE(IF('01_Datos_brutos'!A4:A187="M2",'01_Datos_brutos'!S4:S187),0.25)</f>
        <v/>
      </c>
      <c r="I41" s="12">
        <f>PERCENTILE(IF('01_Datos_brutos'!A4:A187="M2",'01_Datos_brutos'!S4:S187),0.5)</f>
        <v/>
      </c>
      <c r="J41" s="12">
        <f>PERCENTILE(IF('01_Datos_brutos'!A4:A187="M2",'01_Datos_brutos'!S4:S187),0.75)</f>
        <v/>
      </c>
      <c r="K41" s="12">
        <f>MAXIFS('01_Datos_brutos'!S4:S187,'01_Datos_brutos'!A4:A187,"M2")</f>
        <v/>
      </c>
      <c r="L41" s="29">
        <f>J41-H41</f>
        <v/>
      </c>
    </row>
    <row r="42">
      <c r="A42" s="26" t="inlineStr">
        <is>
          <t>M2</t>
        </is>
      </c>
      <c r="B42" s="27" t="inlineStr">
        <is>
          <t>TiempoIntima_s</t>
        </is>
      </c>
      <c r="C42" s="28">
        <f>COUNTIFS('01_Datos_brutos'!A4:A187,"M2")</f>
        <v/>
      </c>
      <c r="D42" s="12">
        <f>AVERAGEIFS('01_Datos_brutos'!T4:T187,'01_Datos_brutos'!A4:A187,"M2")</f>
        <v/>
      </c>
      <c r="E42" s="12">
        <f>STDEV(IF('01_Datos_brutos'!A4:A187="M2",'01_Datos_brutos'!T4:T187))</f>
        <v/>
      </c>
      <c r="F42" s="29">
        <f>IFERROR(E42/D42,"")</f>
        <v/>
      </c>
      <c r="G42" s="12">
        <f>MINIFS('01_Datos_brutos'!T4:T187,'01_Datos_brutos'!A4:A187,"M2")</f>
        <v/>
      </c>
      <c r="H42" s="12">
        <f>PERCENTILE(IF('01_Datos_brutos'!A4:A187="M2",'01_Datos_brutos'!T4:T187),0.25)</f>
        <v/>
      </c>
      <c r="I42" s="12">
        <f>PERCENTILE(IF('01_Datos_brutos'!A4:A187="M2",'01_Datos_brutos'!T4:T187),0.5)</f>
        <v/>
      </c>
      <c r="J42" s="12">
        <f>PERCENTILE(IF('01_Datos_brutos'!A4:A187="M2",'01_Datos_brutos'!T4:T187),0.75)</f>
        <v/>
      </c>
      <c r="K42" s="12">
        <f>MAXIFS('01_Datos_brutos'!T4:T187,'01_Datos_brutos'!A4:A187,"M2")</f>
        <v/>
      </c>
      <c r="L42" s="29">
        <f>J42-H42</f>
        <v/>
      </c>
    </row>
    <row r="43">
      <c r="A43" s="26" t="inlineStr">
        <is>
          <t>M2</t>
        </is>
      </c>
      <c r="B43" s="27" t="inlineStr">
        <is>
          <t>TiempoTotal_s</t>
        </is>
      </c>
      <c r="C43" s="28">
        <f>COUNTIFS('01_Datos_brutos'!A4:A187,"M2")</f>
        <v/>
      </c>
      <c r="D43" s="12">
        <f>AVERAGEIFS('01_Datos_brutos'!E4:E187,'01_Datos_brutos'!A4:A187,"M2")</f>
        <v/>
      </c>
      <c r="E43" s="12">
        <f>STDEV(IF('01_Datos_brutos'!A4:A187="M2",'01_Datos_brutos'!E4:E187))</f>
        <v/>
      </c>
      <c r="F43" s="29">
        <f>IFERROR(E43/D43,"")</f>
        <v/>
      </c>
      <c r="G43" s="12">
        <f>MINIFS('01_Datos_brutos'!E4:E187,'01_Datos_brutos'!A4:A187,"M2")</f>
        <v/>
      </c>
      <c r="H43" s="12">
        <f>PERCENTILE(IF('01_Datos_brutos'!A4:A187="M2",'01_Datos_brutos'!E4:E187),0.25)</f>
        <v/>
      </c>
      <c r="I43" s="12">
        <f>PERCENTILE(IF('01_Datos_brutos'!A4:A187="M2",'01_Datos_brutos'!E4:E187),0.5)</f>
        <v/>
      </c>
      <c r="J43" s="12">
        <f>PERCENTILE(IF('01_Datos_brutos'!A4:A187="M2",'01_Datos_brutos'!E4:E187),0.75)</f>
        <v/>
      </c>
      <c r="K43" s="12">
        <f>MAXIFS('01_Datos_brutos'!E4:E187,'01_Datos_brutos'!A4:A187,"M2")</f>
        <v/>
      </c>
      <c r="L43" s="29">
        <f>J43-H43</f>
        <v/>
      </c>
    </row>
    <row r="44">
      <c r="A44" s="26" t="inlineStr">
        <is>
          <t>M2</t>
        </is>
      </c>
      <c r="B44" s="27" t="inlineStr">
        <is>
          <t>LongitudTrayectoria_m</t>
        </is>
      </c>
      <c r="C44" s="28">
        <f>COUNTIFS('01_Datos_brutos'!A4:A187,"M2")</f>
        <v/>
      </c>
      <c r="D44" s="12">
        <f>AVERAGEIFS('01_Datos_brutos'!F4:F187,'01_Datos_brutos'!A4:A187,"M2")</f>
        <v/>
      </c>
      <c r="E44" s="12">
        <f>STDEV(IF('01_Datos_brutos'!A4:A187="M2",'01_Datos_brutos'!F4:F187))</f>
        <v/>
      </c>
      <c r="F44" s="29">
        <f>IFERROR(E44/D44,"")</f>
        <v/>
      </c>
      <c r="G44" s="12">
        <f>MINIFS('01_Datos_brutos'!F4:F187,'01_Datos_brutos'!A4:A187,"M2")</f>
        <v/>
      </c>
      <c r="H44" s="12">
        <f>PERCENTILE(IF('01_Datos_brutos'!A4:A187="M2",'01_Datos_brutos'!F4:F187),0.25)</f>
        <v/>
      </c>
      <c r="I44" s="12">
        <f>PERCENTILE(IF('01_Datos_brutos'!A4:A187="M2",'01_Datos_brutos'!F4:F187),0.5)</f>
        <v/>
      </c>
      <c r="J44" s="12">
        <f>PERCENTILE(IF('01_Datos_brutos'!A4:A187="M2",'01_Datos_brutos'!F4:F187),0.75)</f>
        <v/>
      </c>
      <c r="K44" s="12">
        <f>MAXIFS('01_Datos_brutos'!F4:F187,'01_Datos_brutos'!A4:A187,"M2")</f>
        <v/>
      </c>
      <c r="L44" s="29">
        <f>J44-H44</f>
        <v/>
      </c>
    </row>
    <row r="45">
      <c r="A45" s="26" t="inlineStr">
        <is>
          <t>M2</t>
        </is>
      </c>
      <c r="B45" s="27" t="inlineStr">
        <is>
          <t>VelMedia_mps</t>
        </is>
      </c>
      <c r="C45" s="28">
        <f>COUNTIFS('01_Datos_brutos'!A4:A187,"M2")</f>
        <v/>
      </c>
      <c r="D45" s="12">
        <f>AVERAGEIFS('01_Datos_brutos'!L4:L187,'01_Datos_brutos'!A4:A187,"M2")</f>
        <v/>
      </c>
      <c r="E45" s="12">
        <f>STDEV(IF('01_Datos_brutos'!A4:A187="M2",'01_Datos_brutos'!L4:L187))</f>
        <v/>
      </c>
      <c r="F45" s="29">
        <f>IFERROR(E45/D45,"")</f>
        <v/>
      </c>
      <c r="G45" s="12">
        <f>MINIFS('01_Datos_brutos'!L4:L187,'01_Datos_brutos'!A4:A187,"M2")</f>
        <v/>
      </c>
      <c r="H45" s="12">
        <f>PERCENTILE(IF('01_Datos_brutos'!A4:A187="M2",'01_Datos_brutos'!L4:L187),0.25)</f>
        <v/>
      </c>
      <c r="I45" s="12">
        <f>PERCENTILE(IF('01_Datos_brutos'!A4:A187="M2",'01_Datos_brutos'!L4:L187),0.5)</f>
        <v/>
      </c>
      <c r="J45" s="12">
        <f>PERCENTILE(IF('01_Datos_brutos'!A4:A187="M2",'01_Datos_brutos'!L4:L187),0.75)</f>
        <v/>
      </c>
      <c r="K45" s="12">
        <f>MAXIFS('01_Datos_brutos'!L4:L187,'01_Datos_brutos'!A4:A187,"M2")</f>
        <v/>
      </c>
      <c r="L45" s="29">
        <f>J45-H45</f>
        <v/>
      </c>
    </row>
    <row r="46">
      <c r="A46" s="26" t="inlineStr">
        <is>
          <t>M2</t>
        </is>
      </c>
      <c r="B46" s="27" t="inlineStr">
        <is>
          <t>VelMax_mps</t>
        </is>
      </c>
      <c r="C46" s="28">
        <f>COUNTIFS('01_Datos_brutos'!A4:A187,"M2")</f>
        <v/>
      </c>
      <c r="D46" s="12">
        <f>AVERAGEIFS('01_Datos_brutos'!N4:N187,'01_Datos_brutos'!A4:A187,"M2")</f>
        <v/>
      </c>
      <c r="E46" s="12">
        <f>STDEV(IF('01_Datos_brutos'!A4:A187="M2",'01_Datos_brutos'!N4:N187))</f>
        <v/>
      </c>
      <c r="F46" s="29">
        <f>IFERROR(E46/D46,"")</f>
        <v/>
      </c>
      <c r="G46" s="12">
        <f>MINIFS('01_Datos_brutos'!N4:N187,'01_Datos_brutos'!A4:A187,"M2")</f>
        <v/>
      </c>
      <c r="H46" s="12">
        <f>PERCENTILE(IF('01_Datos_brutos'!A4:A187="M2",'01_Datos_brutos'!N4:N187),0.25)</f>
        <v/>
      </c>
      <c r="I46" s="12">
        <f>PERCENTILE(IF('01_Datos_brutos'!A4:A187="M2",'01_Datos_brutos'!N4:N187),0.5)</f>
        <v/>
      </c>
      <c r="J46" s="12">
        <f>PERCENTILE(IF('01_Datos_brutos'!A4:A187="M2",'01_Datos_brutos'!N4:N187),0.75)</f>
        <v/>
      </c>
      <c r="K46" s="12">
        <f>MAXIFS('01_Datos_brutos'!N4:N187,'01_Datos_brutos'!A4:A187,"M2")</f>
        <v/>
      </c>
      <c r="L46" s="29">
        <f>J46-H46</f>
        <v/>
      </c>
    </row>
    <row r="47">
      <c r="A47" s="26" t="inlineStr">
        <is>
          <t>M2</t>
        </is>
      </c>
      <c r="B47" s="27" t="inlineStr">
        <is>
          <t>VelStd_mps</t>
        </is>
      </c>
      <c r="C47" s="28">
        <f>COUNTIFS('01_Datos_brutos'!A4:A187,"M2")</f>
        <v/>
      </c>
      <c r="D47" s="12">
        <f>AVERAGEIFS('01_Datos_brutos'!O4:O187,'01_Datos_brutos'!A4:A187,"M2")</f>
        <v/>
      </c>
      <c r="E47" s="12">
        <f>STDEV(IF('01_Datos_brutos'!A4:A187="M2",'01_Datos_brutos'!O4:O187))</f>
        <v/>
      </c>
      <c r="F47" s="29">
        <f>IFERROR(E47/D47,"")</f>
        <v/>
      </c>
      <c r="G47" s="12">
        <f>MINIFS('01_Datos_brutos'!O4:O187,'01_Datos_brutos'!A4:A187,"M2")</f>
        <v/>
      </c>
      <c r="H47" s="12">
        <f>PERCENTILE(IF('01_Datos_brutos'!A4:A187="M2",'01_Datos_brutos'!O4:O187),0.25)</f>
        <v/>
      </c>
      <c r="I47" s="12">
        <f>PERCENTILE(IF('01_Datos_brutos'!A4:A187="M2",'01_Datos_brutos'!O4:O187),0.5)</f>
        <v/>
      </c>
      <c r="J47" s="12">
        <f>PERCENTILE(IF('01_Datos_brutos'!A4:A187="M2",'01_Datos_brutos'!O4:O187),0.75)</f>
        <v/>
      </c>
      <c r="K47" s="12">
        <f>MAXIFS('01_Datos_brutos'!O4:O187,'01_Datos_brutos'!A4:A187,"M2")</f>
        <v/>
      </c>
      <c r="L47" s="29">
        <f>J47-H47</f>
        <v/>
      </c>
    </row>
    <row r="48">
      <c r="A48" s="26" t="inlineStr">
        <is>
          <t>M2</t>
        </is>
      </c>
      <c r="B48" s="27" t="inlineStr">
        <is>
          <t>AccMax_mps2</t>
        </is>
      </c>
      <c r="C48" s="28">
        <f>COUNTIFS('01_Datos_brutos'!A4:A187,"M2")</f>
        <v/>
      </c>
      <c r="D48" s="12">
        <f>AVERAGEIFS('01_Datos_brutos'!P4:P187,'01_Datos_brutos'!A4:A187,"M2")</f>
        <v/>
      </c>
      <c r="E48" s="12">
        <f>STDEV(IF('01_Datos_brutos'!A4:A187="M2",'01_Datos_brutos'!P4:P187))</f>
        <v/>
      </c>
      <c r="F48" s="29">
        <f>IFERROR(E48/D48,"")</f>
        <v/>
      </c>
      <c r="G48" s="12">
        <f>MINIFS('01_Datos_brutos'!P4:P187,'01_Datos_brutos'!A4:A187,"M2")</f>
        <v/>
      </c>
      <c r="H48" s="12">
        <f>PERCENTILE(IF('01_Datos_brutos'!A4:A187="M2",'01_Datos_brutos'!P4:P187),0.25)</f>
        <v/>
      </c>
      <c r="I48" s="12">
        <f>PERCENTILE(IF('01_Datos_brutos'!A4:A187="M2",'01_Datos_brutos'!P4:P187),0.5)</f>
        <v/>
      </c>
      <c r="J48" s="12">
        <f>PERCENTILE(IF('01_Datos_brutos'!A4:A187="M2",'01_Datos_brutos'!P4:P187),0.75)</f>
        <v/>
      </c>
      <c r="K48" s="12">
        <f>MAXIFS('01_Datos_brutos'!P4:P187,'01_Datos_brutos'!A4:A187,"M2")</f>
        <v/>
      </c>
      <c r="L48" s="29">
        <f>J48-H48</f>
        <v/>
      </c>
    </row>
    <row r="49">
      <c r="A49" s="26" t="inlineStr">
        <is>
          <t>M2</t>
        </is>
      </c>
      <c r="B49" s="27" t="inlineStr">
        <is>
          <t>AccRMS_mps2</t>
        </is>
      </c>
      <c r="C49" s="28">
        <f>COUNTIFS('01_Datos_brutos'!A4:A187,"M2")</f>
        <v/>
      </c>
      <c r="D49" s="12">
        <f>AVERAGEIFS('01_Datos_brutos'!Q4:Q187,'01_Datos_brutos'!A4:A187,"M2")</f>
        <v/>
      </c>
      <c r="E49" s="12">
        <f>STDEV(IF('01_Datos_brutos'!A4:A187="M2",'01_Datos_brutos'!Q4:Q187))</f>
        <v/>
      </c>
      <c r="F49" s="29">
        <f>IFERROR(E49/D49,"")</f>
        <v/>
      </c>
      <c r="G49" s="12">
        <f>MINIFS('01_Datos_brutos'!Q4:Q187,'01_Datos_brutos'!A4:A187,"M2")</f>
        <v/>
      </c>
      <c r="H49" s="12">
        <f>PERCENTILE(IF('01_Datos_brutos'!A4:A187="M2",'01_Datos_brutos'!Q4:Q187),0.25)</f>
        <v/>
      </c>
      <c r="I49" s="12">
        <f>PERCENTILE(IF('01_Datos_brutos'!A4:A187="M2",'01_Datos_brutos'!Q4:Q187),0.5)</f>
        <v/>
      </c>
      <c r="J49" s="12">
        <f>PERCENTILE(IF('01_Datos_brutos'!A4:A187="M2",'01_Datos_brutos'!Q4:Q187),0.75)</f>
        <v/>
      </c>
      <c r="K49" s="12">
        <f>MAXIFS('01_Datos_brutos'!Q4:Q187,'01_Datos_brutos'!A4:A187,"M2")</f>
        <v/>
      </c>
      <c r="L49" s="29">
        <f>J49-H49</f>
        <v/>
      </c>
    </row>
    <row r="50">
      <c r="A50" s="26" t="inlineStr">
        <is>
          <t>M2</t>
        </is>
      </c>
      <c r="B50" s="27" t="inlineStr">
        <is>
          <t>NumeroStops</t>
        </is>
      </c>
      <c r="C50" s="28">
        <f>COUNTIFS('01_Datos_brutos'!A4:A187,"M2")</f>
        <v/>
      </c>
      <c r="D50" s="12">
        <f>AVERAGEIFS('01_Datos_brutos'!V4:V187,'01_Datos_brutos'!A4:A187,"M2")</f>
        <v/>
      </c>
      <c r="E50" s="12">
        <f>STDEV(IF('01_Datos_brutos'!A4:A187="M2",'01_Datos_brutos'!V4:V187))</f>
        <v/>
      </c>
      <c r="F50" s="29">
        <f>IFERROR(E50/D50,"")</f>
        <v/>
      </c>
      <c r="G50" s="12">
        <f>MINIFS('01_Datos_brutos'!V4:V187,'01_Datos_brutos'!A4:A187,"M2")</f>
        <v/>
      </c>
      <c r="H50" s="12">
        <f>PERCENTILE(IF('01_Datos_brutos'!A4:A187="M2",'01_Datos_brutos'!V4:V187),0.25)</f>
        <v/>
      </c>
      <c r="I50" s="12">
        <f>PERCENTILE(IF('01_Datos_brutos'!A4:A187="M2",'01_Datos_brutos'!V4:V187),0.5)</f>
        <v/>
      </c>
      <c r="J50" s="12">
        <f>PERCENTILE(IF('01_Datos_brutos'!A4:A187="M2",'01_Datos_brutos'!V4:V187),0.75)</f>
        <v/>
      </c>
      <c r="K50" s="12">
        <f>MAXIFS('01_Datos_brutos'!V4:V187,'01_Datos_brutos'!A4:A187,"M2")</f>
        <v/>
      </c>
      <c r="L50" s="29">
        <f>J50-H50</f>
        <v/>
      </c>
    </row>
    <row r="51">
      <c r="A51" s="26" t="inlineStr">
        <is>
          <t>M2</t>
        </is>
      </c>
      <c r="B51" s="27" t="inlineStr">
        <is>
          <t>TiempoStop_s</t>
        </is>
      </c>
      <c r="C51" s="28">
        <f>COUNTIFS('01_Datos_brutos'!A4:A187,"M2")</f>
        <v/>
      </c>
      <c r="D51" s="12">
        <f>AVERAGEIFS('01_Datos_brutos'!U4:U187,'01_Datos_brutos'!A4:A187,"M2")</f>
        <v/>
      </c>
      <c r="E51" s="12">
        <f>STDEV(IF('01_Datos_brutos'!A4:A187="M2",'01_Datos_brutos'!U4:U187))</f>
        <v/>
      </c>
      <c r="F51" s="29">
        <f>IFERROR(E51/D51,"")</f>
        <v/>
      </c>
      <c r="G51" s="12">
        <f>MINIFS('01_Datos_brutos'!U4:U187,'01_Datos_brutos'!A4:A187,"M2")</f>
        <v/>
      </c>
      <c r="H51" s="12">
        <f>PERCENTILE(IF('01_Datos_brutos'!A4:A187="M2",'01_Datos_brutos'!U4:U187),0.25)</f>
        <v/>
      </c>
      <c r="I51" s="12">
        <f>PERCENTILE(IF('01_Datos_brutos'!A4:A187="M2",'01_Datos_brutos'!U4:U187),0.5)</f>
        <v/>
      </c>
      <c r="J51" s="12">
        <f>PERCENTILE(IF('01_Datos_brutos'!A4:A187="M2",'01_Datos_brutos'!U4:U187),0.75)</f>
        <v/>
      </c>
      <c r="K51" s="12">
        <f>MAXIFS('01_Datos_brutos'!U4:U187,'01_Datos_brutos'!A4:A187,"M2")</f>
        <v/>
      </c>
      <c r="L51" s="29">
        <f>J51-H51</f>
        <v/>
      </c>
    </row>
    <row r="52">
      <c r="A52" s="26" t="inlineStr">
        <is>
          <t>M2</t>
        </is>
      </c>
      <c r="B52" s="27" t="inlineStr">
        <is>
          <t>EficienciaTrayectoria</t>
        </is>
      </c>
      <c r="C52" s="28">
        <f>COUNTIFS('01_Datos_brutos'!A4:A187,"M2")</f>
        <v/>
      </c>
      <c r="D52" s="12">
        <f>AVERAGEIFS('01_Datos_brutos'!W4:W187,'01_Datos_brutos'!A4:A187,"M2")</f>
        <v/>
      </c>
      <c r="E52" s="12">
        <f>STDEV(IF('01_Datos_brutos'!A4:A187="M2",'01_Datos_brutos'!W4:W187))</f>
        <v/>
      </c>
      <c r="F52" s="29">
        <f>IFERROR(E52/D52,"")</f>
        <v/>
      </c>
      <c r="G52" s="12">
        <f>MINIFS('01_Datos_brutos'!W4:W187,'01_Datos_brutos'!A4:A187,"M2")</f>
        <v/>
      </c>
      <c r="H52" s="12">
        <f>PERCENTILE(IF('01_Datos_brutos'!A4:A187="M2",'01_Datos_brutos'!W4:W187),0.25)</f>
        <v/>
      </c>
      <c r="I52" s="12">
        <f>PERCENTILE(IF('01_Datos_brutos'!A4:A187="M2",'01_Datos_brutos'!W4:W187),0.5)</f>
        <v/>
      </c>
      <c r="J52" s="12">
        <f>PERCENTILE(IF('01_Datos_brutos'!A4:A187="M2",'01_Datos_brutos'!W4:W187),0.75)</f>
        <v/>
      </c>
      <c r="K52" s="12">
        <f>MAXIFS('01_Datos_brutos'!W4:W187,'01_Datos_brutos'!A4:A187,"M2")</f>
        <v/>
      </c>
      <c r="L52" s="29">
        <f>J52-H52</f>
        <v/>
      </c>
    </row>
    <row r="53">
      <c r="A53" s="26" t="inlineStr">
        <is>
          <t>M3</t>
        </is>
      </c>
      <c r="B53" s="27" t="inlineStr">
        <is>
          <t>DistMin_m</t>
        </is>
      </c>
      <c r="C53" s="28">
        <f>COUNTIFS('01_Datos_brutos'!A4:A187,"M3")</f>
        <v/>
      </c>
      <c r="D53" s="12">
        <f>AVERAGEIFS('01_Datos_brutos'!G4:G187,'01_Datos_brutos'!A4:A187,"M3")</f>
        <v/>
      </c>
      <c r="E53" s="12">
        <f>STDEV(IF('01_Datos_brutos'!A4:A187="M3",'01_Datos_brutos'!G4:G187))</f>
        <v/>
      </c>
      <c r="F53" s="29">
        <f>IFERROR(E53/D53,"")</f>
        <v/>
      </c>
      <c r="G53" s="12">
        <f>MINIFS('01_Datos_brutos'!G4:G187,'01_Datos_brutos'!A4:A187,"M3")</f>
        <v/>
      </c>
      <c r="H53" s="12">
        <f>PERCENTILE(IF('01_Datos_brutos'!A4:A187="M3",'01_Datos_brutos'!G4:G187),0.25)</f>
        <v/>
      </c>
      <c r="I53" s="12">
        <f>PERCENTILE(IF('01_Datos_brutos'!A4:A187="M3",'01_Datos_brutos'!G4:G187),0.5)</f>
        <v/>
      </c>
      <c r="J53" s="12">
        <f>PERCENTILE(IF('01_Datos_brutos'!A4:A187="M3",'01_Datos_brutos'!G4:G187),0.75)</f>
        <v/>
      </c>
      <c r="K53" s="12">
        <f>MAXIFS('01_Datos_brutos'!G4:G187,'01_Datos_brutos'!A4:A187,"M3")</f>
        <v/>
      </c>
      <c r="L53" s="29">
        <f>J53-H53</f>
        <v/>
      </c>
    </row>
    <row r="54">
      <c r="A54" s="26" t="inlineStr">
        <is>
          <t>M3</t>
        </is>
      </c>
      <c r="B54" s="27" t="inlineStr">
        <is>
          <t>DistMedia_m</t>
        </is>
      </c>
      <c r="C54" s="28">
        <f>COUNTIFS('01_Datos_brutos'!A4:A187,"M3")</f>
        <v/>
      </c>
      <c r="D54" s="12">
        <f>AVERAGEIFS('01_Datos_brutos'!H4:H187,'01_Datos_brutos'!A4:A187,"M3")</f>
        <v/>
      </c>
      <c r="E54" s="12">
        <f>STDEV(IF('01_Datos_brutos'!A4:A187="M3",'01_Datos_brutos'!H4:H187))</f>
        <v/>
      </c>
      <c r="F54" s="29">
        <f>IFERROR(E54/D54,"")</f>
        <v/>
      </c>
      <c r="G54" s="12">
        <f>MINIFS('01_Datos_brutos'!H4:H187,'01_Datos_brutos'!A4:A187,"M3")</f>
        <v/>
      </c>
      <c r="H54" s="12">
        <f>PERCENTILE(IF('01_Datos_brutos'!A4:A187="M3",'01_Datos_brutos'!H4:H187),0.25)</f>
        <v/>
      </c>
      <c r="I54" s="12">
        <f>PERCENTILE(IF('01_Datos_brutos'!A4:A187="M3",'01_Datos_brutos'!H4:H187),0.5)</f>
        <v/>
      </c>
      <c r="J54" s="12">
        <f>PERCENTILE(IF('01_Datos_brutos'!A4:A187="M3",'01_Datos_brutos'!H4:H187),0.75)</f>
        <v/>
      </c>
      <c r="K54" s="12">
        <f>MAXIFS('01_Datos_brutos'!H4:H187,'01_Datos_brutos'!A4:A187,"M3")</f>
        <v/>
      </c>
      <c r="L54" s="29">
        <f>J54-H54</f>
        <v/>
      </c>
    </row>
    <row r="55">
      <c r="A55" s="26" t="inlineStr">
        <is>
          <t>M3</t>
        </is>
      </c>
      <c r="B55" s="27" t="inlineStr">
        <is>
          <t>DistP05_m</t>
        </is>
      </c>
      <c r="C55" s="28">
        <f>COUNTIFS('01_Datos_brutos'!A4:A187,"M3")</f>
        <v/>
      </c>
      <c r="D55" s="12">
        <f>AVERAGEIFS('01_Datos_brutos'!J4:J187,'01_Datos_brutos'!A4:A187,"M3")</f>
        <v/>
      </c>
      <c r="E55" s="12">
        <f>STDEV(IF('01_Datos_brutos'!A4:A187="M3",'01_Datos_brutos'!J4:J187))</f>
        <v/>
      </c>
      <c r="F55" s="29">
        <f>IFERROR(E55/D55,"")</f>
        <v/>
      </c>
      <c r="G55" s="12">
        <f>MINIFS('01_Datos_brutos'!J4:J187,'01_Datos_brutos'!A4:A187,"M3")</f>
        <v/>
      </c>
      <c r="H55" s="12">
        <f>PERCENTILE(IF('01_Datos_brutos'!A4:A187="M3",'01_Datos_brutos'!J4:J187),0.25)</f>
        <v/>
      </c>
      <c r="I55" s="12">
        <f>PERCENTILE(IF('01_Datos_brutos'!A4:A187="M3",'01_Datos_brutos'!J4:J187),0.5)</f>
        <v/>
      </c>
      <c r="J55" s="12">
        <f>PERCENTILE(IF('01_Datos_brutos'!A4:A187="M3",'01_Datos_brutos'!J4:J187),0.75)</f>
        <v/>
      </c>
      <c r="K55" s="12">
        <f>MAXIFS('01_Datos_brutos'!J4:J187,'01_Datos_brutos'!A4:A187,"M3")</f>
        <v/>
      </c>
      <c r="L55" s="29">
        <f>J55-H55</f>
        <v/>
      </c>
    </row>
    <row r="56">
      <c r="A56" s="26" t="inlineStr">
        <is>
          <t>M3</t>
        </is>
      </c>
      <c r="B56" s="27" t="inlineStr">
        <is>
          <t>TiempoPersonal_s</t>
        </is>
      </c>
      <c r="C56" s="28">
        <f>COUNTIFS('01_Datos_brutos'!A4:A187,"M3")</f>
        <v/>
      </c>
      <c r="D56" s="12">
        <f>AVERAGEIFS('01_Datos_brutos'!S4:S187,'01_Datos_brutos'!A4:A187,"M3")</f>
        <v/>
      </c>
      <c r="E56" s="12">
        <f>STDEV(IF('01_Datos_brutos'!A4:A187="M3",'01_Datos_brutos'!S4:S187))</f>
        <v/>
      </c>
      <c r="F56" s="29">
        <f>IFERROR(E56/D56,"")</f>
        <v/>
      </c>
      <c r="G56" s="12">
        <f>MINIFS('01_Datos_brutos'!S4:S187,'01_Datos_brutos'!A4:A187,"M3")</f>
        <v/>
      </c>
      <c r="H56" s="12">
        <f>PERCENTILE(IF('01_Datos_brutos'!A4:A187="M3",'01_Datos_brutos'!S4:S187),0.25)</f>
        <v/>
      </c>
      <c r="I56" s="12">
        <f>PERCENTILE(IF('01_Datos_brutos'!A4:A187="M3",'01_Datos_brutos'!S4:S187),0.5)</f>
        <v/>
      </c>
      <c r="J56" s="12">
        <f>PERCENTILE(IF('01_Datos_brutos'!A4:A187="M3",'01_Datos_brutos'!S4:S187),0.75)</f>
        <v/>
      </c>
      <c r="K56" s="12">
        <f>MAXIFS('01_Datos_brutos'!S4:S187,'01_Datos_brutos'!A4:A187,"M3")</f>
        <v/>
      </c>
      <c r="L56" s="29">
        <f>J56-H56</f>
        <v/>
      </c>
    </row>
    <row r="57">
      <c r="A57" s="26" t="inlineStr">
        <is>
          <t>M3</t>
        </is>
      </c>
      <c r="B57" s="27" t="inlineStr">
        <is>
          <t>TiempoIntima_s</t>
        </is>
      </c>
      <c r="C57" s="28">
        <f>COUNTIFS('01_Datos_brutos'!A4:A187,"M3")</f>
        <v/>
      </c>
      <c r="D57" s="12">
        <f>AVERAGEIFS('01_Datos_brutos'!T4:T187,'01_Datos_brutos'!A4:A187,"M3")</f>
        <v/>
      </c>
      <c r="E57" s="12">
        <f>STDEV(IF('01_Datos_brutos'!A4:A187="M3",'01_Datos_brutos'!T4:T187))</f>
        <v/>
      </c>
      <c r="F57" s="29">
        <f>IFERROR(E57/D57,"")</f>
        <v/>
      </c>
      <c r="G57" s="12">
        <f>MINIFS('01_Datos_brutos'!T4:T187,'01_Datos_brutos'!A4:A187,"M3")</f>
        <v/>
      </c>
      <c r="H57" s="12">
        <f>PERCENTILE(IF('01_Datos_brutos'!A4:A187="M3",'01_Datos_brutos'!T4:T187),0.25)</f>
        <v/>
      </c>
      <c r="I57" s="12">
        <f>PERCENTILE(IF('01_Datos_brutos'!A4:A187="M3",'01_Datos_brutos'!T4:T187),0.5)</f>
        <v/>
      </c>
      <c r="J57" s="12">
        <f>PERCENTILE(IF('01_Datos_brutos'!A4:A187="M3",'01_Datos_brutos'!T4:T187),0.75)</f>
        <v/>
      </c>
      <c r="K57" s="12">
        <f>MAXIFS('01_Datos_brutos'!T4:T187,'01_Datos_brutos'!A4:A187,"M3")</f>
        <v/>
      </c>
      <c r="L57" s="29">
        <f>J57-H57</f>
        <v/>
      </c>
    </row>
    <row r="58">
      <c r="A58" s="26" t="inlineStr">
        <is>
          <t>M3</t>
        </is>
      </c>
      <c r="B58" s="27" t="inlineStr">
        <is>
          <t>TiempoTotal_s</t>
        </is>
      </c>
      <c r="C58" s="28">
        <f>COUNTIFS('01_Datos_brutos'!A4:A187,"M3")</f>
        <v/>
      </c>
      <c r="D58" s="12">
        <f>AVERAGEIFS('01_Datos_brutos'!E4:E187,'01_Datos_brutos'!A4:A187,"M3")</f>
        <v/>
      </c>
      <c r="E58" s="12">
        <f>STDEV(IF('01_Datos_brutos'!A4:A187="M3",'01_Datos_brutos'!E4:E187))</f>
        <v/>
      </c>
      <c r="F58" s="29">
        <f>IFERROR(E58/D58,"")</f>
        <v/>
      </c>
      <c r="G58" s="12">
        <f>MINIFS('01_Datos_brutos'!E4:E187,'01_Datos_brutos'!A4:A187,"M3")</f>
        <v/>
      </c>
      <c r="H58" s="12">
        <f>PERCENTILE(IF('01_Datos_brutos'!A4:A187="M3",'01_Datos_brutos'!E4:E187),0.25)</f>
        <v/>
      </c>
      <c r="I58" s="12">
        <f>PERCENTILE(IF('01_Datos_brutos'!A4:A187="M3",'01_Datos_brutos'!E4:E187),0.5)</f>
        <v/>
      </c>
      <c r="J58" s="12">
        <f>PERCENTILE(IF('01_Datos_brutos'!A4:A187="M3",'01_Datos_brutos'!E4:E187),0.75)</f>
        <v/>
      </c>
      <c r="K58" s="12">
        <f>MAXIFS('01_Datos_brutos'!E4:E187,'01_Datos_brutos'!A4:A187,"M3")</f>
        <v/>
      </c>
      <c r="L58" s="29">
        <f>J58-H58</f>
        <v/>
      </c>
    </row>
    <row r="59">
      <c r="A59" s="26" t="inlineStr">
        <is>
          <t>M3</t>
        </is>
      </c>
      <c r="B59" s="27" t="inlineStr">
        <is>
          <t>LongitudTrayectoria_m</t>
        </is>
      </c>
      <c r="C59" s="28">
        <f>COUNTIFS('01_Datos_brutos'!A4:A187,"M3")</f>
        <v/>
      </c>
      <c r="D59" s="12">
        <f>AVERAGEIFS('01_Datos_brutos'!F4:F187,'01_Datos_brutos'!A4:A187,"M3")</f>
        <v/>
      </c>
      <c r="E59" s="12">
        <f>STDEV(IF('01_Datos_brutos'!A4:A187="M3",'01_Datos_brutos'!F4:F187))</f>
        <v/>
      </c>
      <c r="F59" s="29">
        <f>IFERROR(E59/D59,"")</f>
        <v/>
      </c>
      <c r="G59" s="12">
        <f>MINIFS('01_Datos_brutos'!F4:F187,'01_Datos_brutos'!A4:A187,"M3")</f>
        <v/>
      </c>
      <c r="H59" s="12">
        <f>PERCENTILE(IF('01_Datos_brutos'!A4:A187="M3",'01_Datos_brutos'!F4:F187),0.25)</f>
        <v/>
      </c>
      <c r="I59" s="12">
        <f>PERCENTILE(IF('01_Datos_brutos'!A4:A187="M3",'01_Datos_brutos'!F4:F187),0.5)</f>
        <v/>
      </c>
      <c r="J59" s="12">
        <f>PERCENTILE(IF('01_Datos_brutos'!A4:A187="M3",'01_Datos_brutos'!F4:F187),0.75)</f>
        <v/>
      </c>
      <c r="K59" s="12">
        <f>MAXIFS('01_Datos_brutos'!F4:F187,'01_Datos_brutos'!A4:A187,"M3")</f>
        <v/>
      </c>
      <c r="L59" s="29">
        <f>J59-H59</f>
        <v/>
      </c>
    </row>
    <row r="60">
      <c r="A60" s="26" t="inlineStr">
        <is>
          <t>M3</t>
        </is>
      </c>
      <c r="B60" s="27" t="inlineStr">
        <is>
          <t>VelMedia_mps</t>
        </is>
      </c>
      <c r="C60" s="28">
        <f>COUNTIFS('01_Datos_brutos'!A4:A187,"M3")</f>
        <v/>
      </c>
      <c r="D60" s="12">
        <f>AVERAGEIFS('01_Datos_brutos'!L4:L187,'01_Datos_brutos'!A4:A187,"M3")</f>
        <v/>
      </c>
      <c r="E60" s="12">
        <f>STDEV(IF('01_Datos_brutos'!A4:A187="M3",'01_Datos_brutos'!L4:L187))</f>
        <v/>
      </c>
      <c r="F60" s="29">
        <f>IFERROR(E60/D60,"")</f>
        <v/>
      </c>
      <c r="G60" s="12">
        <f>MINIFS('01_Datos_brutos'!L4:L187,'01_Datos_brutos'!A4:A187,"M3")</f>
        <v/>
      </c>
      <c r="H60" s="12">
        <f>PERCENTILE(IF('01_Datos_brutos'!A4:A187="M3",'01_Datos_brutos'!L4:L187),0.25)</f>
        <v/>
      </c>
      <c r="I60" s="12">
        <f>PERCENTILE(IF('01_Datos_brutos'!A4:A187="M3",'01_Datos_brutos'!L4:L187),0.5)</f>
        <v/>
      </c>
      <c r="J60" s="12">
        <f>PERCENTILE(IF('01_Datos_brutos'!A4:A187="M3",'01_Datos_brutos'!L4:L187),0.75)</f>
        <v/>
      </c>
      <c r="K60" s="12">
        <f>MAXIFS('01_Datos_brutos'!L4:L187,'01_Datos_brutos'!A4:A187,"M3")</f>
        <v/>
      </c>
      <c r="L60" s="29">
        <f>J60-H60</f>
        <v/>
      </c>
    </row>
    <row r="61">
      <c r="A61" s="26" t="inlineStr">
        <is>
          <t>M3</t>
        </is>
      </c>
      <c r="B61" s="27" t="inlineStr">
        <is>
          <t>VelMax_mps</t>
        </is>
      </c>
      <c r="C61" s="28">
        <f>COUNTIFS('01_Datos_brutos'!A4:A187,"M3")</f>
        <v/>
      </c>
      <c r="D61" s="12">
        <f>AVERAGEIFS('01_Datos_brutos'!N4:N187,'01_Datos_brutos'!A4:A187,"M3")</f>
        <v/>
      </c>
      <c r="E61" s="12">
        <f>STDEV(IF('01_Datos_brutos'!A4:A187="M3",'01_Datos_brutos'!N4:N187))</f>
        <v/>
      </c>
      <c r="F61" s="29">
        <f>IFERROR(E61/D61,"")</f>
        <v/>
      </c>
      <c r="G61" s="12">
        <f>MINIFS('01_Datos_brutos'!N4:N187,'01_Datos_brutos'!A4:A187,"M3")</f>
        <v/>
      </c>
      <c r="H61" s="12">
        <f>PERCENTILE(IF('01_Datos_brutos'!A4:A187="M3",'01_Datos_brutos'!N4:N187),0.25)</f>
        <v/>
      </c>
      <c r="I61" s="12">
        <f>PERCENTILE(IF('01_Datos_brutos'!A4:A187="M3",'01_Datos_brutos'!N4:N187),0.5)</f>
        <v/>
      </c>
      <c r="J61" s="12">
        <f>PERCENTILE(IF('01_Datos_brutos'!A4:A187="M3",'01_Datos_brutos'!N4:N187),0.75)</f>
        <v/>
      </c>
      <c r="K61" s="12">
        <f>MAXIFS('01_Datos_brutos'!N4:N187,'01_Datos_brutos'!A4:A187,"M3")</f>
        <v/>
      </c>
      <c r="L61" s="29">
        <f>J61-H61</f>
        <v/>
      </c>
    </row>
    <row r="62">
      <c r="A62" s="26" t="inlineStr">
        <is>
          <t>M3</t>
        </is>
      </c>
      <c r="B62" s="27" t="inlineStr">
        <is>
          <t>VelStd_mps</t>
        </is>
      </c>
      <c r="C62" s="28">
        <f>COUNTIFS('01_Datos_brutos'!A4:A187,"M3")</f>
        <v/>
      </c>
      <c r="D62" s="12">
        <f>AVERAGEIFS('01_Datos_brutos'!O4:O187,'01_Datos_brutos'!A4:A187,"M3")</f>
        <v/>
      </c>
      <c r="E62" s="12">
        <f>STDEV(IF('01_Datos_brutos'!A4:A187="M3",'01_Datos_brutos'!O4:O187))</f>
        <v/>
      </c>
      <c r="F62" s="29">
        <f>IFERROR(E62/D62,"")</f>
        <v/>
      </c>
      <c r="G62" s="12">
        <f>MINIFS('01_Datos_brutos'!O4:O187,'01_Datos_brutos'!A4:A187,"M3")</f>
        <v/>
      </c>
      <c r="H62" s="12">
        <f>PERCENTILE(IF('01_Datos_brutos'!A4:A187="M3",'01_Datos_brutos'!O4:O187),0.25)</f>
        <v/>
      </c>
      <c r="I62" s="12">
        <f>PERCENTILE(IF('01_Datos_brutos'!A4:A187="M3",'01_Datos_brutos'!O4:O187),0.5)</f>
        <v/>
      </c>
      <c r="J62" s="12">
        <f>PERCENTILE(IF('01_Datos_brutos'!A4:A187="M3",'01_Datos_brutos'!O4:O187),0.75)</f>
        <v/>
      </c>
      <c r="K62" s="12">
        <f>MAXIFS('01_Datos_brutos'!O4:O187,'01_Datos_brutos'!A4:A187,"M3")</f>
        <v/>
      </c>
      <c r="L62" s="29">
        <f>J62-H62</f>
        <v/>
      </c>
    </row>
    <row r="63">
      <c r="A63" s="26" t="inlineStr">
        <is>
          <t>M3</t>
        </is>
      </c>
      <c r="B63" s="27" t="inlineStr">
        <is>
          <t>AccMax_mps2</t>
        </is>
      </c>
      <c r="C63" s="28">
        <f>COUNTIFS('01_Datos_brutos'!A4:A187,"M3")</f>
        <v/>
      </c>
      <c r="D63" s="12">
        <f>AVERAGEIFS('01_Datos_brutos'!P4:P187,'01_Datos_brutos'!A4:A187,"M3")</f>
        <v/>
      </c>
      <c r="E63" s="12">
        <f>STDEV(IF('01_Datos_brutos'!A4:A187="M3",'01_Datos_brutos'!P4:P187))</f>
        <v/>
      </c>
      <c r="F63" s="29">
        <f>IFERROR(E63/D63,"")</f>
        <v/>
      </c>
      <c r="G63" s="12">
        <f>MINIFS('01_Datos_brutos'!P4:P187,'01_Datos_brutos'!A4:A187,"M3")</f>
        <v/>
      </c>
      <c r="H63" s="12">
        <f>PERCENTILE(IF('01_Datos_brutos'!A4:A187="M3",'01_Datos_brutos'!P4:P187),0.25)</f>
        <v/>
      </c>
      <c r="I63" s="12">
        <f>PERCENTILE(IF('01_Datos_brutos'!A4:A187="M3",'01_Datos_brutos'!P4:P187),0.5)</f>
        <v/>
      </c>
      <c r="J63" s="12">
        <f>PERCENTILE(IF('01_Datos_brutos'!A4:A187="M3",'01_Datos_brutos'!P4:P187),0.75)</f>
        <v/>
      </c>
      <c r="K63" s="12">
        <f>MAXIFS('01_Datos_brutos'!P4:P187,'01_Datos_brutos'!A4:A187,"M3")</f>
        <v/>
      </c>
      <c r="L63" s="29">
        <f>J63-H63</f>
        <v/>
      </c>
    </row>
    <row r="64">
      <c r="A64" s="26" t="inlineStr">
        <is>
          <t>M3</t>
        </is>
      </c>
      <c r="B64" s="27" t="inlineStr">
        <is>
          <t>AccRMS_mps2</t>
        </is>
      </c>
      <c r="C64" s="28">
        <f>COUNTIFS('01_Datos_brutos'!A4:A187,"M3")</f>
        <v/>
      </c>
      <c r="D64" s="12">
        <f>AVERAGEIFS('01_Datos_brutos'!Q4:Q187,'01_Datos_brutos'!A4:A187,"M3")</f>
        <v/>
      </c>
      <c r="E64" s="12">
        <f>STDEV(IF('01_Datos_brutos'!A4:A187="M3",'01_Datos_brutos'!Q4:Q187))</f>
        <v/>
      </c>
      <c r="F64" s="29">
        <f>IFERROR(E64/D64,"")</f>
        <v/>
      </c>
      <c r="G64" s="12">
        <f>MINIFS('01_Datos_brutos'!Q4:Q187,'01_Datos_brutos'!A4:A187,"M3")</f>
        <v/>
      </c>
      <c r="H64" s="12">
        <f>PERCENTILE(IF('01_Datos_brutos'!A4:A187="M3",'01_Datos_brutos'!Q4:Q187),0.25)</f>
        <v/>
      </c>
      <c r="I64" s="12">
        <f>PERCENTILE(IF('01_Datos_brutos'!A4:A187="M3",'01_Datos_brutos'!Q4:Q187),0.5)</f>
        <v/>
      </c>
      <c r="J64" s="12">
        <f>PERCENTILE(IF('01_Datos_brutos'!A4:A187="M3",'01_Datos_brutos'!Q4:Q187),0.75)</f>
        <v/>
      </c>
      <c r="K64" s="12">
        <f>MAXIFS('01_Datos_brutos'!Q4:Q187,'01_Datos_brutos'!A4:A187,"M3")</f>
        <v/>
      </c>
      <c r="L64" s="29">
        <f>J64-H64</f>
        <v/>
      </c>
    </row>
    <row r="65">
      <c r="A65" s="26" t="inlineStr">
        <is>
          <t>M3</t>
        </is>
      </c>
      <c r="B65" s="27" t="inlineStr">
        <is>
          <t>NumeroStops</t>
        </is>
      </c>
      <c r="C65" s="28">
        <f>COUNTIFS('01_Datos_brutos'!A4:A187,"M3")</f>
        <v/>
      </c>
      <c r="D65" s="12">
        <f>AVERAGEIFS('01_Datos_brutos'!V4:V187,'01_Datos_brutos'!A4:A187,"M3")</f>
        <v/>
      </c>
      <c r="E65" s="12">
        <f>STDEV(IF('01_Datos_brutos'!A4:A187="M3",'01_Datos_brutos'!V4:V187))</f>
        <v/>
      </c>
      <c r="F65" s="29">
        <f>IFERROR(E65/D65,"")</f>
        <v/>
      </c>
      <c r="G65" s="12">
        <f>MINIFS('01_Datos_brutos'!V4:V187,'01_Datos_brutos'!A4:A187,"M3")</f>
        <v/>
      </c>
      <c r="H65" s="12">
        <f>PERCENTILE(IF('01_Datos_brutos'!A4:A187="M3",'01_Datos_brutos'!V4:V187),0.25)</f>
        <v/>
      </c>
      <c r="I65" s="12">
        <f>PERCENTILE(IF('01_Datos_brutos'!A4:A187="M3",'01_Datos_brutos'!V4:V187),0.5)</f>
        <v/>
      </c>
      <c r="J65" s="12">
        <f>PERCENTILE(IF('01_Datos_brutos'!A4:A187="M3",'01_Datos_brutos'!V4:V187),0.75)</f>
        <v/>
      </c>
      <c r="K65" s="12">
        <f>MAXIFS('01_Datos_brutos'!V4:V187,'01_Datos_brutos'!A4:A187,"M3")</f>
        <v/>
      </c>
      <c r="L65" s="29">
        <f>J65-H65</f>
        <v/>
      </c>
    </row>
    <row r="66">
      <c r="A66" s="26" t="inlineStr">
        <is>
          <t>M3</t>
        </is>
      </c>
      <c r="B66" s="27" t="inlineStr">
        <is>
          <t>TiempoStop_s</t>
        </is>
      </c>
      <c r="C66" s="28">
        <f>COUNTIFS('01_Datos_brutos'!A4:A187,"M3")</f>
        <v/>
      </c>
      <c r="D66" s="12">
        <f>AVERAGEIFS('01_Datos_brutos'!U4:U187,'01_Datos_brutos'!A4:A187,"M3")</f>
        <v/>
      </c>
      <c r="E66" s="12">
        <f>STDEV(IF('01_Datos_brutos'!A4:A187="M3",'01_Datos_brutos'!U4:U187))</f>
        <v/>
      </c>
      <c r="F66" s="29">
        <f>IFERROR(E66/D66,"")</f>
        <v/>
      </c>
      <c r="G66" s="12">
        <f>MINIFS('01_Datos_brutos'!U4:U187,'01_Datos_brutos'!A4:A187,"M3")</f>
        <v/>
      </c>
      <c r="H66" s="12">
        <f>PERCENTILE(IF('01_Datos_brutos'!A4:A187="M3",'01_Datos_brutos'!U4:U187),0.25)</f>
        <v/>
      </c>
      <c r="I66" s="12">
        <f>PERCENTILE(IF('01_Datos_brutos'!A4:A187="M3",'01_Datos_brutos'!U4:U187),0.5)</f>
        <v/>
      </c>
      <c r="J66" s="12">
        <f>PERCENTILE(IF('01_Datos_brutos'!A4:A187="M3",'01_Datos_brutos'!U4:U187),0.75)</f>
        <v/>
      </c>
      <c r="K66" s="12">
        <f>MAXIFS('01_Datos_brutos'!U4:U187,'01_Datos_brutos'!A4:A187,"M3")</f>
        <v/>
      </c>
      <c r="L66" s="29">
        <f>J66-H66</f>
        <v/>
      </c>
    </row>
    <row r="67">
      <c r="A67" s="26" t="inlineStr">
        <is>
          <t>M3</t>
        </is>
      </c>
      <c r="B67" s="27" t="inlineStr">
        <is>
          <t>EficienciaTrayectoria</t>
        </is>
      </c>
      <c r="C67" s="28">
        <f>COUNTIFS('01_Datos_brutos'!A4:A187,"M3")</f>
        <v/>
      </c>
      <c r="D67" s="12">
        <f>AVERAGEIFS('01_Datos_brutos'!W4:W187,'01_Datos_brutos'!A4:A187,"M3")</f>
        <v/>
      </c>
      <c r="E67" s="12">
        <f>STDEV(IF('01_Datos_brutos'!A4:A187="M3",'01_Datos_brutos'!W4:W187))</f>
        <v/>
      </c>
      <c r="F67" s="29">
        <f>IFERROR(E67/D67,"")</f>
        <v/>
      </c>
      <c r="G67" s="12">
        <f>MINIFS('01_Datos_brutos'!W4:W187,'01_Datos_brutos'!A4:A187,"M3")</f>
        <v/>
      </c>
      <c r="H67" s="12">
        <f>PERCENTILE(IF('01_Datos_brutos'!A4:A187="M3",'01_Datos_brutos'!W4:W187),0.25)</f>
        <v/>
      </c>
      <c r="I67" s="12">
        <f>PERCENTILE(IF('01_Datos_brutos'!A4:A187="M3",'01_Datos_brutos'!W4:W187),0.5)</f>
        <v/>
      </c>
      <c r="J67" s="12">
        <f>PERCENTILE(IF('01_Datos_brutos'!A4:A187="M3",'01_Datos_brutos'!W4:W187),0.75)</f>
        <v/>
      </c>
      <c r="K67" s="12">
        <f>MAXIFS('01_Datos_brutos'!W4:W187,'01_Datos_brutos'!A4:A187,"M3")</f>
        <v/>
      </c>
      <c r="L67" s="29">
        <f>J67-H67</f>
        <v/>
      </c>
    </row>
    <row r="68">
      <c r="A68" s="26" t="inlineStr">
        <is>
          <t>M4</t>
        </is>
      </c>
      <c r="B68" s="27" t="inlineStr">
        <is>
          <t>DistMin_m</t>
        </is>
      </c>
      <c r="C68" s="28">
        <f>COUNTIFS('01_Datos_brutos'!A4:A187,"M4")</f>
        <v/>
      </c>
      <c r="D68" s="12">
        <f>AVERAGEIFS('01_Datos_brutos'!G4:G187,'01_Datos_brutos'!A4:A187,"M4")</f>
        <v/>
      </c>
      <c r="E68" s="12">
        <f>STDEV(IF('01_Datos_brutos'!A4:A187="M4",'01_Datos_brutos'!G4:G187))</f>
        <v/>
      </c>
      <c r="F68" s="29">
        <f>IFERROR(E68/D68,"")</f>
        <v/>
      </c>
      <c r="G68" s="12">
        <f>MINIFS('01_Datos_brutos'!G4:G187,'01_Datos_brutos'!A4:A187,"M4")</f>
        <v/>
      </c>
      <c r="H68" s="12">
        <f>PERCENTILE(IF('01_Datos_brutos'!A4:A187="M4",'01_Datos_brutos'!G4:G187),0.25)</f>
        <v/>
      </c>
      <c r="I68" s="12">
        <f>PERCENTILE(IF('01_Datos_brutos'!A4:A187="M4",'01_Datos_brutos'!G4:G187),0.5)</f>
        <v/>
      </c>
      <c r="J68" s="12">
        <f>PERCENTILE(IF('01_Datos_brutos'!A4:A187="M4",'01_Datos_brutos'!G4:G187),0.75)</f>
        <v/>
      </c>
      <c r="K68" s="12">
        <f>MAXIFS('01_Datos_brutos'!G4:G187,'01_Datos_brutos'!A4:A187,"M4")</f>
        <v/>
      </c>
      <c r="L68" s="29">
        <f>J68-H68</f>
        <v/>
      </c>
    </row>
    <row r="69">
      <c r="A69" s="26" t="inlineStr">
        <is>
          <t>M4</t>
        </is>
      </c>
      <c r="B69" s="27" t="inlineStr">
        <is>
          <t>DistMedia_m</t>
        </is>
      </c>
      <c r="C69" s="28">
        <f>COUNTIFS('01_Datos_brutos'!A4:A187,"M4")</f>
        <v/>
      </c>
      <c r="D69" s="12">
        <f>AVERAGEIFS('01_Datos_brutos'!H4:H187,'01_Datos_brutos'!A4:A187,"M4")</f>
        <v/>
      </c>
      <c r="E69" s="12">
        <f>STDEV(IF('01_Datos_brutos'!A4:A187="M4",'01_Datos_brutos'!H4:H187))</f>
        <v/>
      </c>
      <c r="F69" s="29">
        <f>IFERROR(E69/D69,"")</f>
        <v/>
      </c>
      <c r="G69" s="12">
        <f>MINIFS('01_Datos_brutos'!H4:H187,'01_Datos_brutos'!A4:A187,"M4")</f>
        <v/>
      </c>
      <c r="H69" s="12">
        <f>PERCENTILE(IF('01_Datos_brutos'!A4:A187="M4",'01_Datos_brutos'!H4:H187),0.25)</f>
        <v/>
      </c>
      <c r="I69" s="12">
        <f>PERCENTILE(IF('01_Datos_brutos'!A4:A187="M4",'01_Datos_brutos'!H4:H187),0.5)</f>
        <v/>
      </c>
      <c r="J69" s="12">
        <f>PERCENTILE(IF('01_Datos_brutos'!A4:A187="M4",'01_Datos_brutos'!H4:H187),0.75)</f>
        <v/>
      </c>
      <c r="K69" s="12">
        <f>MAXIFS('01_Datos_brutos'!H4:H187,'01_Datos_brutos'!A4:A187,"M4")</f>
        <v/>
      </c>
      <c r="L69" s="29">
        <f>J69-H69</f>
        <v/>
      </c>
    </row>
    <row r="70">
      <c r="A70" s="26" t="inlineStr">
        <is>
          <t>M4</t>
        </is>
      </c>
      <c r="B70" s="27" t="inlineStr">
        <is>
          <t>DistP05_m</t>
        </is>
      </c>
      <c r="C70" s="28">
        <f>COUNTIFS('01_Datos_brutos'!A4:A187,"M4")</f>
        <v/>
      </c>
      <c r="D70" s="12">
        <f>AVERAGEIFS('01_Datos_brutos'!J4:J187,'01_Datos_brutos'!A4:A187,"M4")</f>
        <v/>
      </c>
      <c r="E70" s="12">
        <f>STDEV(IF('01_Datos_brutos'!A4:A187="M4",'01_Datos_brutos'!J4:J187))</f>
        <v/>
      </c>
      <c r="F70" s="29">
        <f>IFERROR(E70/D70,"")</f>
        <v/>
      </c>
      <c r="G70" s="12">
        <f>MINIFS('01_Datos_brutos'!J4:J187,'01_Datos_brutos'!A4:A187,"M4")</f>
        <v/>
      </c>
      <c r="H70" s="12">
        <f>PERCENTILE(IF('01_Datos_brutos'!A4:A187="M4",'01_Datos_brutos'!J4:J187),0.25)</f>
        <v/>
      </c>
      <c r="I70" s="12">
        <f>PERCENTILE(IF('01_Datos_brutos'!A4:A187="M4",'01_Datos_brutos'!J4:J187),0.5)</f>
        <v/>
      </c>
      <c r="J70" s="12">
        <f>PERCENTILE(IF('01_Datos_brutos'!A4:A187="M4",'01_Datos_brutos'!J4:J187),0.75)</f>
        <v/>
      </c>
      <c r="K70" s="12">
        <f>MAXIFS('01_Datos_brutos'!J4:J187,'01_Datos_brutos'!A4:A187,"M4")</f>
        <v/>
      </c>
      <c r="L70" s="29">
        <f>J70-H70</f>
        <v/>
      </c>
    </row>
    <row r="71">
      <c r="A71" s="26" t="inlineStr">
        <is>
          <t>M4</t>
        </is>
      </c>
      <c r="B71" s="27" t="inlineStr">
        <is>
          <t>TiempoPersonal_s</t>
        </is>
      </c>
      <c r="C71" s="28">
        <f>COUNTIFS('01_Datos_brutos'!A4:A187,"M4")</f>
        <v/>
      </c>
      <c r="D71" s="12">
        <f>AVERAGEIFS('01_Datos_brutos'!S4:S187,'01_Datos_brutos'!A4:A187,"M4")</f>
        <v/>
      </c>
      <c r="E71" s="12">
        <f>STDEV(IF('01_Datos_brutos'!A4:A187="M4",'01_Datos_brutos'!S4:S187))</f>
        <v/>
      </c>
      <c r="F71" s="29">
        <f>IFERROR(E71/D71,"")</f>
        <v/>
      </c>
      <c r="G71" s="12">
        <f>MINIFS('01_Datos_brutos'!S4:S187,'01_Datos_brutos'!A4:A187,"M4")</f>
        <v/>
      </c>
      <c r="H71" s="12">
        <f>PERCENTILE(IF('01_Datos_brutos'!A4:A187="M4",'01_Datos_brutos'!S4:S187),0.25)</f>
        <v/>
      </c>
      <c r="I71" s="12">
        <f>PERCENTILE(IF('01_Datos_brutos'!A4:A187="M4",'01_Datos_brutos'!S4:S187),0.5)</f>
        <v/>
      </c>
      <c r="J71" s="12">
        <f>PERCENTILE(IF('01_Datos_brutos'!A4:A187="M4",'01_Datos_brutos'!S4:S187),0.75)</f>
        <v/>
      </c>
      <c r="K71" s="12">
        <f>MAXIFS('01_Datos_brutos'!S4:S187,'01_Datos_brutos'!A4:A187,"M4")</f>
        <v/>
      </c>
      <c r="L71" s="29">
        <f>J71-H71</f>
        <v/>
      </c>
    </row>
    <row r="72">
      <c r="A72" s="26" t="inlineStr">
        <is>
          <t>M4</t>
        </is>
      </c>
      <c r="B72" s="27" t="inlineStr">
        <is>
          <t>TiempoIntima_s</t>
        </is>
      </c>
      <c r="C72" s="28">
        <f>COUNTIFS('01_Datos_brutos'!A4:A187,"M4")</f>
        <v/>
      </c>
      <c r="D72" s="12">
        <f>AVERAGEIFS('01_Datos_brutos'!T4:T187,'01_Datos_brutos'!A4:A187,"M4")</f>
        <v/>
      </c>
      <c r="E72" s="12">
        <f>STDEV(IF('01_Datos_brutos'!A4:A187="M4",'01_Datos_brutos'!T4:T187))</f>
        <v/>
      </c>
      <c r="F72" s="29">
        <f>IFERROR(E72/D72,"")</f>
        <v/>
      </c>
      <c r="G72" s="12">
        <f>MINIFS('01_Datos_brutos'!T4:T187,'01_Datos_brutos'!A4:A187,"M4")</f>
        <v/>
      </c>
      <c r="H72" s="12">
        <f>PERCENTILE(IF('01_Datos_brutos'!A4:A187="M4",'01_Datos_brutos'!T4:T187),0.25)</f>
        <v/>
      </c>
      <c r="I72" s="12">
        <f>PERCENTILE(IF('01_Datos_brutos'!A4:A187="M4",'01_Datos_brutos'!T4:T187),0.5)</f>
        <v/>
      </c>
      <c r="J72" s="12">
        <f>PERCENTILE(IF('01_Datos_brutos'!A4:A187="M4",'01_Datos_brutos'!T4:T187),0.75)</f>
        <v/>
      </c>
      <c r="K72" s="12">
        <f>MAXIFS('01_Datos_brutos'!T4:T187,'01_Datos_brutos'!A4:A187,"M4")</f>
        <v/>
      </c>
      <c r="L72" s="29">
        <f>J72-H72</f>
        <v/>
      </c>
    </row>
    <row r="73">
      <c r="A73" s="26" t="inlineStr">
        <is>
          <t>M4</t>
        </is>
      </c>
      <c r="B73" s="27" t="inlineStr">
        <is>
          <t>TiempoTotal_s</t>
        </is>
      </c>
      <c r="C73" s="28">
        <f>COUNTIFS('01_Datos_brutos'!A4:A187,"M4")</f>
        <v/>
      </c>
      <c r="D73" s="12">
        <f>AVERAGEIFS('01_Datos_brutos'!E4:E187,'01_Datos_brutos'!A4:A187,"M4")</f>
        <v/>
      </c>
      <c r="E73" s="12">
        <f>STDEV(IF('01_Datos_brutos'!A4:A187="M4",'01_Datos_brutos'!E4:E187))</f>
        <v/>
      </c>
      <c r="F73" s="29">
        <f>IFERROR(E73/D73,"")</f>
        <v/>
      </c>
      <c r="G73" s="12">
        <f>MINIFS('01_Datos_brutos'!E4:E187,'01_Datos_brutos'!A4:A187,"M4")</f>
        <v/>
      </c>
      <c r="H73" s="12">
        <f>PERCENTILE(IF('01_Datos_brutos'!A4:A187="M4",'01_Datos_brutos'!E4:E187),0.25)</f>
        <v/>
      </c>
      <c r="I73" s="12">
        <f>PERCENTILE(IF('01_Datos_brutos'!A4:A187="M4",'01_Datos_brutos'!E4:E187),0.5)</f>
        <v/>
      </c>
      <c r="J73" s="12">
        <f>PERCENTILE(IF('01_Datos_brutos'!A4:A187="M4",'01_Datos_brutos'!E4:E187),0.75)</f>
        <v/>
      </c>
      <c r="K73" s="12">
        <f>MAXIFS('01_Datos_brutos'!E4:E187,'01_Datos_brutos'!A4:A187,"M4")</f>
        <v/>
      </c>
      <c r="L73" s="29">
        <f>J73-H73</f>
        <v/>
      </c>
    </row>
    <row r="74">
      <c r="A74" s="26" t="inlineStr">
        <is>
          <t>M4</t>
        </is>
      </c>
      <c r="B74" s="27" t="inlineStr">
        <is>
          <t>LongitudTrayectoria_m</t>
        </is>
      </c>
      <c r="C74" s="28">
        <f>COUNTIFS('01_Datos_brutos'!A4:A187,"M4")</f>
        <v/>
      </c>
      <c r="D74" s="12">
        <f>AVERAGEIFS('01_Datos_brutos'!F4:F187,'01_Datos_brutos'!A4:A187,"M4")</f>
        <v/>
      </c>
      <c r="E74" s="12">
        <f>STDEV(IF('01_Datos_brutos'!A4:A187="M4",'01_Datos_brutos'!F4:F187))</f>
        <v/>
      </c>
      <c r="F74" s="29">
        <f>IFERROR(E74/D74,"")</f>
        <v/>
      </c>
      <c r="G74" s="12">
        <f>MINIFS('01_Datos_brutos'!F4:F187,'01_Datos_brutos'!A4:A187,"M4")</f>
        <v/>
      </c>
      <c r="H74" s="12">
        <f>PERCENTILE(IF('01_Datos_brutos'!A4:A187="M4",'01_Datos_brutos'!F4:F187),0.25)</f>
        <v/>
      </c>
      <c r="I74" s="12">
        <f>PERCENTILE(IF('01_Datos_brutos'!A4:A187="M4",'01_Datos_brutos'!F4:F187),0.5)</f>
        <v/>
      </c>
      <c r="J74" s="12">
        <f>PERCENTILE(IF('01_Datos_brutos'!A4:A187="M4",'01_Datos_brutos'!F4:F187),0.75)</f>
        <v/>
      </c>
      <c r="K74" s="12">
        <f>MAXIFS('01_Datos_brutos'!F4:F187,'01_Datos_brutos'!A4:A187,"M4")</f>
        <v/>
      </c>
      <c r="L74" s="29">
        <f>J74-H74</f>
        <v/>
      </c>
    </row>
    <row r="75">
      <c r="A75" s="26" t="inlineStr">
        <is>
          <t>M4</t>
        </is>
      </c>
      <c r="B75" s="27" t="inlineStr">
        <is>
          <t>VelMedia_mps</t>
        </is>
      </c>
      <c r="C75" s="28">
        <f>COUNTIFS('01_Datos_brutos'!A4:A187,"M4")</f>
        <v/>
      </c>
      <c r="D75" s="12">
        <f>AVERAGEIFS('01_Datos_brutos'!L4:L187,'01_Datos_brutos'!A4:A187,"M4")</f>
        <v/>
      </c>
      <c r="E75" s="12">
        <f>STDEV(IF('01_Datos_brutos'!A4:A187="M4",'01_Datos_brutos'!L4:L187))</f>
        <v/>
      </c>
      <c r="F75" s="29">
        <f>IFERROR(E75/D75,"")</f>
        <v/>
      </c>
      <c r="G75" s="12">
        <f>MINIFS('01_Datos_brutos'!L4:L187,'01_Datos_brutos'!A4:A187,"M4")</f>
        <v/>
      </c>
      <c r="H75" s="12">
        <f>PERCENTILE(IF('01_Datos_brutos'!A4:A187="M4",'01_Datos_brutos'!L4:L187),0.25)</f>
        <v/>
      </c>
      <c r="I75" s="12">
        <f>PERCENTILE(IF('01_Datos_brutos'!A4:A187="M4",'01_Datos_brutos'!L4:L187),0.5)</f>
        <v/>
      </c>
      <c r="J75" s="12">
        <f>PERCENTILE(IF('01_Datos_brutos'!A4:A187="M4",'01_Datos_brutos'!L4:L187),0.75)</f>
        <v/>
      </c>
      <c r="K75" s="12">
        <f>MAXIFS('01_Datos_brutos'!L4:L187,'01_Datos_brutos'!A4:A187,"M4")</f>
        <v/>
      </c>
      <c r="L75" s="29">
        <f>J75-H75</f>
        <v/>
      </c>
    </row>
    <row r="76">
      <c r="A76" s="26" t="inlineStr">
        <is>
          <t>M4</t>
        </is>
      </c>
      <c r="B76" s="27" t="inlineStr">
        <is>
          <t>VelMax_mps</t>
        </is>
      </c>
      <c r="C76" s="28">
        <f>COUNTIFS('01_Datos_brutos'!A4:A187,"M4")</f>
        <v/>
      </c>
      <c r="D76" s="12">
        <f>AVERAGEIFS('01_Datos_brutos'!N4:N187,'01_Datos_brutos'!A4:A187,"M4")</f>
        <v/>
      </c>
      <c r="E76" s="12">
        <f>STDEV(IF('01_Datos_brutos'!A4:A187="M4",'01_Datos_brutos'!N4:N187))</f>
        <v/>
      </c>
      <c r="F76" s="29">
        <f>IFERROR(E76/D76,"")</f>
        <v/>
      </c>
      <c r="G76" s="12">
        <f>MINIFS('01_Datos_brutos'!N4:N187,'01_Datos_brutos'!A4:A187,"M4")</f>
        <v/>
      </c>
      <c r="H76" s="12">
        <f>PERCENTILE(IF('01_Datos_brutos'!A4:A187="M4",'01_Datos_brutos'!N4:N187),0.25)</f>
        <v/>
      </c>
      <c r="I76" s="12">
        <f>PERCENTILE(IF('01_Datos_brutos'!A4:A187="M4",'01_Datos_brutos'!N4:N187),0.5)</f>
        <v/>
      </c>
      <c r="J76" s="12">
        <f>PERCENTILE(IF('01_Datos_brutos'!A4:A187="M4",'01_Datos_brutos'!N4:N187),0.75)</f>
        <v/>
      </c>
      <c r="K76" s="12">
        <f>MAXIFS('01_Datos_brutos'!N4:N187,'01_Datos_brutos'!A4:A187,"M4")</f>
        <v/>
      </c>
      <c r="L76" s="29">
        <f>J76-H76</f>
        <v/>
      </c>
    </row>
    <row r="77">
      <c r="A77" s="26" t="inlineStr">
        <is>
          <t>M4</t>
        </is>
      </c>
      <c r="B77" s="27" t="inlineStr">
        <is>
          <t>VelStd_mps</t>
        </is>
      </c>
      <c r="C77" s="28">
        <f>COUNTIFS('01_Datos_brutos'!A4:A187,"M4")</f>
        <v/>
      </c>
      <c r="D77" s="12">
        <f>AVERAGEIFS('01_Datos_brutos'!O4:O187,'01_Datos_brutos'!A4:A187,"M4")</f>
        <v/>
      </c>
      <c r="E77" s="12">
        <f>STDEV(IF('01_Datos_brutos'!A4:A187="M4",'01_Datos_brutos'!O4:O187))</f>
        <v/>
      </c>
      <c r="F77" s="29">
        <f>IFERROR(E77/D77,"")</f>
        <v/>
      </c>
      <c r="G77" s="12">
        <f>MINIFS('01_Datos_brutos'!O4:O187,'01_Datos_brutos'!A4:A187,"M4")</f>
        <v/>
      </c>
      <c r="H77" s="12">
        <f>PERCENTILE(IF('01_Datos_brutos'!A4:A187="M4",'01_Datos_brutos'!O4:O187),0.25)</f>
        <v/>
      </c>
      <c r="I77" s="12">
        <f>PERCENTILE(IF('01_Datos_brutos'!A4:A187="M4",'01_Datos_brutos'!O4:O187),0.5)</f>
        <v/>
      </c>
      <c r="J77" s="12">
        <f>PERCENTILE(IF('01_Datos_brutos'!A4:A187="M4",'01_Datos_brutos'!O4:O187),0.75)</f>
        <v/>
      </c>
      <c r="K77" s="12">
        <f>MAXIFS('01_Datos_brutos'!O4:O187,'01_Datos_brutos'!A4:A187,"M4")</f>
        <v/>
      </c>
      <c r="L77" s="29">
        <f>J77-H77</f>
        <v/>
      </c>
    </row>
    <row r="78">
      <c r="A78" s="26" t="inlineStr">
        <is>
          <t>M4</t>
        </is>
      </c>
      <c r="B78" s="27" t="inlineStr">
        <is>
          <t>AccMax_mps2</t>
        </is>
      </c>
      <c r="C78" s="28">
        <f>COUNTIFS('01_Datos_brutos'!A4:A187,"M4")</f>
        <v/>
      </c>
      <c r="D78" s="12">
        <f>AVERAGEIFS('01_Datos_brutos'!P4:P187,'01_Datos_brutos'!A4:A187,"M4")</f>
        <v/>
      </c>
      <c r="E78" s="12">
        <f>STDEV(IF('01_Datos_brutos'!A4:A187="M4",'01_Datos_brutos'!P4:P187))</f>
        <v/>
      </c>
      <c r="F78" s="29">
        <f>IFERROR(E78/D78,"")</f>
        <v/>
      </c>
      <c r="G78" s="12">
        <f>MINIFS('01_Datos_brutos'!P4:P187,'01_Datos_brutos'!A4:A187,"M4")</f>
        <v/>
      </c>
      <c r="H78" s="12">
        <f>PERCENTILE(IF('01_Datos_brutos'!A4:A187="M4",'01_Datos_brutos'!P4:P187),0.25)</f>
        <v/>
      </c>
      <c r="I78" s="12">
        <f>PERCENTILE(IF('01_Datos_brutos'!A4:A187="M4",'01_Datos_brutos'!P4:P187),0.5)</f>
        <v/>
      </c>
      <c r="J78" s="12">
        <f>PERCENTILE(IF('01_Datos_brutos'!A4:A187="M4",'01_Datos_brutos'!P4:P187),0.75)</f>
        <v/>
      </c>
      <c r="K78" s="12">
        <f>MAXIFS('01_Datos_brutos'!P4:P187,'01_Datos_brutos'!A4:A187,"M4")</f>
        <v/>
      </c>
      <c r="L78" s="29">
        <f>J78-H78</f>
        <v/>
      </c>
    </row>
    <row r="79">
      <c r="A79" s="26" t="inlineStr">
        <is>
          <t>M4</t>
        </is>
      </c>
      <c r="B79" s="27" t="inlineStr">
        <is>
          <t>AccRMS_mps2</t>
        </is>
      </c>
      <c r="C79" s="28">
        <f>COUNTIFS('01_Datos_brutos'!A4:A187,"M4")</f>
        <v/>
      </c>
      <c r="D79" s="12">
        <f>AVERAGEIFS('01_Datos_brutos'!Q4:Q187,'01_Datos_brutos'!A4:A187,"M4")</f>
        <v/>
      </c>
      <c r="E79" s="12">
        <f>STDEV(IF('01_Datos_brutos'!A4:A187="M4",'01_Datos_brutos'!Q4:Q187))</f>
        <v/>
      </c>
      <c r="F79" s="29">
        <f>IFERROR(E79/D79,"")</f>
        <v/>
      </c>
      <c r="G79" s="12">
        <f>MINIFS('01_Datos_brutos'!Q4:Q187,'01_Datos_brutos'!A4:A187,"M4")</f>
        <v/>
      </c>
      <c r="H79" s="12">
        <f>PERCENTILE(IF('01_Datos_brutos'!A4:A187="M4",'01_Datos_brutos'!Q4:Q187),0.25)</f>
        <v/>
      </c>
      <c r="I79" s="12">
        <f>PERCENTILE(IF('01_Datos_brutos'!A4:A187="M4",'01_Datos_brutos'!Q4:Q187),0.5)</f>
        <v/>
      </c>
      <c r="J79" s="12">
        <f>PERCENTILE(IF('01_Datos_brutos'!A4:A187="M4",'01_Datos_brutos'!Q4:Q187),0.75)</f>
        <v/>
      </c>
      <c r="K79" s="12">
        <f>MAXIFS('01_Datos_brutos'!Q4:Q187,'01_Datos_brutos'!A4:A187,"M4")</f>
        <v/>
      </c>
      <c r="L79" s="29">
        <f>J79-H79</f>
        <v/>
      </c>
    </row>
    <row r="80">
      <c r="A80" s="26" t="inlineStr">
        <is>
          <t>M4</t>
        </is>
      </c>
      <c r="B80" s="27" t="inlineStr">
        <is>
          <t>NumeroStops</t>
        </is>
      </c>
      <c r="C80" s="28">
        <f>COUNTIFS('01_Datos_brutos'!A4:A187,"M4")</f>
        <v/>
      </c>
      <c r="D80" s="12">
        <f>AVERAGEIFS('01_Datos_brutos'!V4:V187,'01_Datos_brutos'!A4:A187,"M4")</f>
        <v/>
      </c>
      <c r="E80" s="12">
        <f>STDEV(IF('01_Datos_brutos'!A4:A187="M4",'01_Datos_brutos'!V4:V187))</f>
        <v/>
      </c>
      <c r="F80" s="29">
        <f>IFERROR(E80/D80,"")</f>
        <v/>
      </c>
      <c r="G80" s="12">
        <f>MINIFS('01_Datos_brutos'!V4:V187,'01_Datos_brutos'!A4:A187,"M4")</f>
        <v/>
      </c>
      <c r="H80" s="12">
        <f>PERCENTILE(IF('01_Datos_brutos'!A4:A187="M4",'01_Datos_brutos'!V4:V187),0.25)</f>
        <v/>
      </c>
      <c r="I80" s="12">
        <f>PERCENTILE(IF('01_Datos_brutos'!A4:A187="M4",'01_Datos_brutos'!V4:V187),0.5)</f>
        <v/>
      </c>
      <c r="J80" s="12">
        <f>PERCENTILE(IF('01_Datos_brutos'!A4:A187="M4",'01_Datos_brutos'!V4:V187),0.75)</f>
        <v/>
      </c>
      <c r="K80" s="12">
        <f>MAXIFS('01_Datos_brutos'!V4:V187,'01_Datos_brutos'!A4:A187,"M4")</f>
        <v/>
      </c>
      <c r="L80" s="29">
        <f>J80-H80</f>
        <v/>
      </c>
    </row>
    <row r="81">
      <c r="A81" s="26" t="inlineStr">
        <is>
          <t>M4</t>
        </is>
      </c>
      <c r="B81" s="27" t="inlineStr">
        <is>
          <t>TiempoStop_s</t>
        </is>
      </c>
      <c r="C81" s="28">
        <f>COUNTIFS('01_Datos_brutos'!A4:A187,"M4")</f>
        <v/>
      </c>
      <c r="D81" s="12">
        <f>AVERAGEIFS('01_Datos_brutos'!U4:U187,'01_Datos_brutos'!A4:A187,"M4")</f>
        <v/>
      </c>
      <c r="E81" s="12">
        <f>STDEV(IF('01_Datos_brutos'!A4:A187="M4",'01_Datos_brutos'!U4:U187))</f>
        <v/>
      </c>
      <c r="F81" s="29">
        <f>IFERROR(E81/D81,"")</f>
        <v/>
      </c>
      <c r="G81" s="12">
        <f>MINIFS('01_Datos_brutos'!U4:U187,'01_Datos_brutos'!A4:A187,"M4")</f>
        <v/>
      </c>
      <c r="H81" s="12">
        <f>PERCENTILE(IF('01_Datos_brutos'!A4:A187="M4",'01_Datos_brutos'!U4:U187),0.25)</f>
        <v/>
      </c>
      <c r="I81" s="12">
        <f>PERCENTILE(IF('01_Datos_brutos'!A4:A187="M4",'01_Datos_brutos'!U4:U187),0.5)</f>
        <v/>
      </c>
      <c r="J81" s="12">
        <f>PERCENTILE(IF('01_Datos_brutos'!A4:A187="M4",'01_Datos_brutos'!U4:U187),0.75)</f>
        <v/>
      </c>
      <c r="K81" s="12">
        <f>MAXIFS('01_Datos_brutos'!U4:U187,'01_Datos_brutos'!A4:A187,"M4")</f>
        <v/>
      </c>
      <c r="L81" s="29">
        <f>J81-H81</f>
        <v/>
      </c>
    </row>
    <row r="82">
      <c r="A82" s="26" t="inlineStr">
        <is>
          <t>M4</t>
        </is>
      </c>
      <c r="B82" s="27" t="inlineStr">
        <is>
          <t>EficienciaTrayectoria</t>
        </is>
      </c>
      <c r="C82" s="28">
        <f>COUNTIFS('01_Datos_brutos'!A4:A187,"M4")</f>
        <v/>
      </c>
      <c r="D82" s="12">
        <f>AVERAGEIFS('01_Datos_brutos'!W4:W187,'01_Datos_brutos'!A4:A187,"M4")</f>
        <v/>
      </c>
      <c r="E82" s="12">
        <f>STDEV(IF('01_Datos_brutos'!A4:A187="M4",'01_Datos_brutos'!W4:W187))</f>
        <v/>
      </c>
      <c r="F82" s="29">
        <f>IFERROR(E82/D82,"")</f>
        <v/>
      </c>
      <c r="G82" s="12">
        <f>MINIFS('01_Datos_brutos'!W4:W187,'01_Datos_brutos'!A4:A187,"M4")</f>
        <v/>
      </c>
      <c r="H82" s="12">
        <f>PERCENTILE(IF('01_Datos_brutos'!A4:A187="M4",'01_Datos_brutos'!W4:W187),0.25)</f>
        <v/>
      </c>
      <c r="I82" s="12">
        <f>PERCENTILE(IF('01_Datos_brutos'!A4:A187="M4",'01_Datos_brutos'!W4:W187),0.5)</f>
        <v/>
      </c>
      <c r="J82" s="12">
        <f>PERCENTILE(IF('01_Datos_brutos'!A4:A187="M4",'01_Datos_brutos'!W4:W187),0.75)</f>
        <v/>
      </c>
      <c r="K82" s="12">
        <f>MAXIFS('01_Datos_brutos'!W4:W187,'01_Datos_brutos'!A4:A187,"M4")</f>
        <v/>
      </c>
      <c r="L82" s="29">
        <f>J82-H82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KRUSKAL-WALLIS: RESULTADOS POR METRICA</t>
        </is>
      </c>
    </row>
    <row r="3">
      <c r="A3" t="inlineStr">
        <is>
          <t>Hipótesis nula H_0: las 5 muestras provienen de la misma distribución.</t>
        </is>
      </c>
    </row>
    <row r="4">
      <c r="A4" t="inlineStr">
        <is>
          <t>Estadístico H sigue chi^2(df=4) bajo H_0.</t>
        </is>
      </c>
    </row>
    <row r="5">
      <c r="A5" t="inlineStr">
        <is>
          <t>Puntos críticos: chi^2(4,0.05)=9.488, chi^2(4,0.01)=13.277, chi^2(4,0.001)=18.467.</t>
        </is>
      </c>
    </row>
    <row r="7">
      <c r="A7" s="25" t="inlineStr">
        <is>
          <t>Metrica</t>
        </is>
      </c>
      <c r="B7" s="25" t="inlineStr">
        <is>
          <t>H</t>
        </is>
      </c>
      <c r="C7" s="25" t="inlineStr">
        <is>
          <t>df</t>
        </is>
      </c>
      <c r="D7" s="25" t="inlineStr">
        <is>
          <t>N total</t>
        </is>
      </c>
      <c r="E7" s="25" t="inlineStr">
        <is>
          <t>p-valor</t>
        </is>
      </c>
      <c r="F7" s="25" t="inlineStr">
        <is>
          <t>Sig.</t>
        </is>
      </c>
      <c r="G7" s="25" t="inlineStr">
        <is>
          <t>Sig. 0.05</t>
        </is>
      </c>
      <c r="H7" s="25" t="inlineStr">
        <is>
          <t>Sig. 0.001</t>
        </is>
      </c>
    </row>
    <row r="8">
      <c r="A8" s="5" t="inlineStr">
        <is>
          <t>DistMin_m</t>
        </is>
      </c>
      <c r="B8" s="30" t="n">
        <v>115.2987101571681</v>
      </c>
      <c r="C8" s="31" t="n">
        <v>4</v>
      </c>
      <c r="D8" s="31" t="n">
        <v>184</v>
      </c>
      <c r="E8" s="32" t="n">
        <v>5.385835785638516e-24</v>
      </c>
      <c r="F8" s="6" t="inlineStr">
        <is>
          <t>***</t>
        </is>
      </c>
      <c r="G8" s="33">
        <f>IF(B8&gt;9.488,"SI","NO")</f>
        <v/>
      </c>
      <c r="H8" s="33">
        <f>IF(B8&gt;18.467,"SI","NO")</f>
        <v/>
      </c>
    </row>
    <row r="9">
      <c r="A9" t="inlineStr">
        <is>
          <t>DistMedia_m</t>
        </is>
      </c>
      <c r="B9" s="34" t="n">
        <v>9.684344153936649</v>
      </c>
      <c r="C9" s="26" t="n">
        <v>4</v>
      </c>
      <c r="D9" s="26" t="n">
        <v>184</v>
      </c>
      <c r="E9" s="35" t="n">
        <v>0.04609414155508455</v>
      </c>
      <c r="F9" s="11" t="inlineStr">
        <is>
          <t>*</t>
        </is>
      </c>
      <c r="G9" s="27">
        <f>IF(B9&gt;9.488,"SI","NO")</f>
        <v/>
      </c>
      <c r="H9" s="27">
        <f>IF(B9&gt;18.467,"SI","NO")</f>
        <v/>
      </c>
    </row>
    <row r="10">
      <c r="A10" s="5" t="inlineStr">
        <is>
          <t>DistP05_m</t>
        </is>
      </c>
      <c r="B10" s="30" t="n">
        <v>90.53661574618093</v>
      </c>
      <c r="C10" s="31" t="n">
        <v>4</v>
      </c>
      <c r="D10" s="31" t="n">
        <v>184</v>
      </c>
      <c r="E10" s="32" t="n">
        <v>1.012718574572622e-18</v>
      </c>
      <c r="F10" s="6" t="inlineStr">
        <is>
          <t>***</t>
        </is>
      </c>
      <c r="G10" s="33">
        <f>IF(B10&gt;9.488,"SI","NO")</f>
        <v/>
      </c>
      <c r="H10" s="33">
        <f>IF(B10&gt;18.467,"SI","NO")</f>
        <v/>
      </c>
    </row>
    <row r="11">
      <c r="A11" s="5" t="inlineStr">
        <is>
          <t>TiempoPersonal_s</t>
        </is>
      </c>
      <c r="B11" s="30" t="n">
        <v>43.12147473560515</v>
      </c>
      <c r="C11" s="31" t="n">
        <v>4</v>
      </c>
      <c r="D11" s="31" t="n">
        <v>184</v>
      </c>
      <c r="E11" s="32" t="n">
        <v>9.732437423460114e-09</v>
      </c>
      <c r="F11" s="6" t="inlineStr">
        <is>
          <t>***</t>
        </is>
      </c>
      <c r="G11" s="33">
        <f>IF(B11&gt;9.488,"SI","NO")</f>
        <v/>
      </c>
      <c r="H11" s="33">
        <f>IF(B11&gt;18.467,"SI","NO")</f>
        <v/>
      </c>
    </row>
    <row r="12">
      <c r="A12" s="8" t="inlineStr">
        <is>
          <t>TiempoIntima_s</t>
        </is>
      </c>
      <c r="B12" s="36" t="n">
        <v>0.2335135135134578</v>
      </c>
      <c r="C12" s="37" t="n">
        <v>4</v>
      </c>
      <c r="D12" s="37" t="n">
        <v>184</v>
      </c>
      <c r="E12" s="38" t="n">
        <v>0.1237677571315012</v>
      </c>
      <c r="F12" s="9" t="inlineStr">
        <is>
          <t>ns</t>
        </is>
      </c>
      <c r="G12" s="39">
        <f>IF(B12&gt;9.488,"SI","NO")</f>
        <v/>
      </c>
      <c r="H12" s="39">
        <f>IF(B12&gt;18.467,"SI","NO")</f>
        <v/>
      </c>
    </row>
    <row r="13">
      <c r="A13" s="5" t="inlineStr">
        <is>
          <t>TiempoTotal_s</t>
        </is>
      </c>
      <c r="B13" s="30" t="n">
        <v>36.33951160399533</v>
      </c>
      <c r="C13" s="31" t="n">
        <v>4</v>
      </c>
      <c r="D13" s="31" t="n">
        <v>184</v>
      </c>
      <c r="E13" s="32" t="n">
        <v>2.463723115466202e-07</v>
      </c>
      <c r="F13" s="6" t="inlineStr">
        <is>
          <t>***</t>
        </is>
      </c>
      <c r="G13" s="33">
        <f>IF(B13&gt;9.488,"SI","NO")</f>
        <v/>
      </c>
      <c r="H13" s="33">
        <f>IF(B13&gt;18.467,"SI","NO")</f>
        <v/>
      </c>
    </row>
    <row r="14">
      <c r="A14" s="5" t="inlineStr">
        <is>
          <t>LongitudTrayectoria_m</t>
        </is>
      </c>
      <c r="B14" s="30" t="n">
        <v>47.32249926556995</v>
      </c>
      <c r="C14" s="31" t="n">
        <v>4</v>
      </c>
      <c r="D14" s="31" t="n">
        <v>184</v>
      </c>
      <c r="E14" s="32" t="n">
        <v>1.306366180908457e-09</v>
      </c>
      <c r="F14" s="6" t="inlineStr">
        <is>
          <t>***</t>
        </is>
      </c>
      <c r="G14" s="33">
        <f>IF(B14&gt;9.488,"SI","NO")</f>
        <v/>
      </c>
      <c r="H14" s="33">
        <f>IF(B14&gt;18.467,"SI","NO")</f>
        <v/>
      </c>
    </row>
    <row r="15">
      <c r="A15" s="5" t="inlineStr">
        <is>
          <t>VelMedia_mps</t>
        </is>
      </c>
      <c r="B15" s="30" t="n">
        <v>95.641562132785</v>
      </c>
      <c r="C15" s="31" t="n">
        <v>4</v>
      </c>
      <c r="D15" s="31" t="n">
        <v>184</v>
      </c>
      <c r="E15" s="32" t="n">
        <v>8.323074686966697e-20</v>
      </c>
      <c r="F15" s="6" t="inlineStr">
        <is>
          <t>***</t>
        </is>
      </c>
      <c r="G15" s="33">
        <f>IF(B15&gt;9.488,"SI","NO")</f>
        <v/>
      </c>
      <c r="H15" s="33">
        <f>IF(B15&gt;18.467,"SI","NO")</f>
        <v/>
      </c>
    </row>
    <row r="16">
      <c r="A16" t="inlineStr">
        <is>
          <t>VelMax_mps</t>
        </is>
      </c>
      <c r="B16" s="34" t="n">
        <v>12.87025558166863</v>
      </c>
      <c r="C16" s="26" t="n">
        <v>4</v>
      </c>
      <c r="D16" s="26" t="n">
        <v>184</v>
      </c>
      <c r="E16" s="35" t="n">
        <v>0.0117189768811241</v>
      </c>
      <c r="F16" s="11" t="inlineStr">
        <is>
          <t>*</t>
        </is>
      </c>
      <c r="G16" s="27">
        <f>IF(B16&gt;9.488,"SI","NO")</f>
        <v/>
      </c>
      <c r="H16" s="27">
        <f>IF(B16&gt;18.467,"SI","NO")</f>
        <v/>
      </c>
    </row>
    <row r="17">
      <c r="A17" s="5" t="inlineStr">
        <is>
          <t>VelStd_mps</t>
        </is>
      </c>
      <c r="B17" s="30" t="n">
        <v>164.9709892773209</v>
      </c>
      <c r="C17" s="31" t="n">
        <v>4</v>
      </c>
      <c r="D17" s="31" t="n">
        <v>184</v>
      </c>
      <c r="E17" s="32" t="n">
        <v>1.254919494856094e-34</v>
      </c>
      <c r="F17" s="6" t="inlineStr">
        <is>
          <t>***</t>
        </is>
      </c>
      <c r="G17" s="33">
        <f>IF(B17&gt;9.488,"SI","NO")</f>
        <v/>
      </c>
      <c r="H17" s="33">
        <f>IF(B17&gt;18.467,"SI","NO")</f>
        <v/>
      </c>
    </row>
    <row r="18">
      <c r="A18" s="8" t="inlineStr">
        <is>
          <t>AccMax_mps2</t>
        </is>
      </c>
      <c r="B18" s="36" t="n">
        <v>3.961914659224476</v>
      </c>
      <c r="C18" s="37" t="n">
        <v>4</v>
      </c>
      <c r="D18" s="37" t="n">
        <v>184</v>
      </c>
      <c r="E18" s="38" t="n">
        <v>0.4111846772068836</v>
      </c>
      <c r="F18" s="9" t="inlineStr">
        <is>
          <t>ns</t>
        </is>
      </c>
      <c r="G18" s="39">
        <f>IF(B18&gt;9.488,"SI","NO")</f>
        <v/>
      </c>
      <c r="H18" s="39">
        <f>IF(B18&gt;18.467,"SI","NO")</f>
        <v/>
      </c>
    </row>
    <row r="19">
      <c r="A19" t="inlineStr">
        <is>
          <t>AccRMS_mps2</t>
        </is>
      </c>
      <c r="B19" s="34" t="n">
        <v>14.13940584606348</v>
      </c>
      <c r="C19" s="26" t="n">
        <v>4</v>
      </c>
      <c r="D19" s="26" t="n">
        <v>184</v>
      </c>
      <c r="E19" s="35" t="n">
        <v>0.00686316719237973</v>
      </c>
      <c r="F19" s="11" t="inlineStr">
        <is>
          <t>**</t>
        </is>
      </c>
      <c r="G19" s="27">
        <f>IF(B19&gt;9.488,"SI","NO")</f>
        <v/>
      </c>
      <c r="H19" s="27">
        <f>IF(B19&gt;18.467,"SI","NO")</f>
        <v/>
      </c>
    </row>
    <row r="20">
      <c r="A20" s="5" t="inlineStr">
        <is>
          <t>NumeroStops</t>
        </is>
      </c>
      <c r="B20" s="30" t="n">
        <v>124.1892529009989</v>
      </c>
      <c r="C20" s="31" t="n">
        <v>4</v>
      </c>
      <c r="D20" s="31" t="n">
        <v>184</v>
      </c>
      <c r="E20" s="32" t="n">
        <v>1.077013381694217e-31</v>
      </c>
      <c r="F20" s="6" t="inlineStr">
        <is>
          <t>***</t>
        </is>
      </c>
      <c r="G20" s="33">
        <f>IF(B20&gt;9.488,"SI","NO")</f>
        <v/>
      </c>
      <c r="H20" s="33">
        <f>IF(B20&gt;18.467,"SI","NO")</f>
        <v/>
      </c>
    </row>
    <row r="21">
      <c r="A21" s="5" t="inlineStr">
        <is>
          <t>TiempoStop_s</t>
        </is>
      </c>
      <c r="B21" s="30" t="n">
        <v>125.906937426557</v>
      </c>
      <c r="C21" s="31" t="n">
        <v>4</v>
      </c>
      <c r="D21" s="31" t="n">
        <v>184</v>
      </c>
      <c r="E21" s="32" t="n">
        <v>5.401735854711102e-32</v>
      </c>
      <c r="F21" s="6" t="inlineStr">
        <is>
          <t>***</t>
        </is>
      </c>
      <c r="G21" s="33">
        <f>IF(B21&gt;9.488,"SI","NO")</f>
        <v/>
      </c>
      <c r="H21" s="33">
        <f>IF(B21&gt;18.467,"SI","NO")</f>
        <v/>
      </c>
    </row>
    <row r="22">
      <c r="A22" s="5" t="inlineStr">
        <is>
          <t>EficienciaTrayectoria</t>
        </is>
      </c>
      <c r="B22" s="30" t="n">
        <v>96.32063381316095</v>
      </c>
      <c r="C22" s="31" t="n">
        <v>4</v>
      </c>
      <c r="D22" s="31" t="n">
        <v>184</v>
      </c>
      <c r="E22" s="32" t="n">
        <v>5.968357025436715e-20</v>
      </c>
      <c r="F22" s="6" t="inlineStr">
        <is>
          <t>***</t>
        </is>
      </c>
      <c r="G22" s="33">
        <f>IF(B22&gt;9.488,"SI","NO")</f>
        <v/>
      </c>
      <c r="H22" s="33">
        <f>IF(B22&gt;18.467,"SI","NO")</f>
        <v/>
      </c>
    </row>
    <row r="25">
      <c r="A25" s="3" t="inlineStr">
        <is>
          <t>Sumas de rangos por método (DistMin_m)</t>
        </is>
      </c>
    </row>
    <row r="26">
      <c r="A26" s="25" t="inlineStr">
        <is>
          <t>Método</t>
        </is>
      </c>
      <c r="B26" s="25" t="inlineStr">
        <is>
          <t>n</t>
        </is>
      </c>
      <c r="C26" s="25" t="inlineStr">
        <is>
          <t>R_j</t>
        </is>
      </c>
      <c r="D26" s="25" t="inlineStr">
        <is>
          <t>Rank medio</t>
        </is>
      </c>
    </row>
    <row r="27">
      <c r="A27" t="inlineStr">
        <is>
          <t>M0</t>
        </is>
      </c>
      <c r="B27" s="26" t="n">
        <v>40</v>
      </c>
      <c r="C27" s="26" t="n">
        <v>1114</v>
      </c>
      <c r="D27" s="40">
        <f>C27/B27</f>
        <v/>
      </c>
    </row>
    <row r="28">
      <c r="A28" t="inlineStr">
        <is>
          <t>M1</t>
        </is>
      </c>
      <c r="B28" s="26" t="n">
        <v>32</v>
      </c>
      <c r="C28" s="26" t="n">
        <v>2729.5</v>
      </c>
      <c r="D28" s="40">
        <f>C28/B28</f>
        <v/>
      </c>
    </row>
    <row r="29">
      <c r="A29" t="inlineStr">
        <is>
          <t>M2</t>
        </is>
      </c>
      <c r="B29" s="26" t="n">
        <v>32</v>
      </c>
      <c r="C29" s="26" t="n">
        <v>2667</v>
      </c>
      <c r="D29" s="40">
        <f>C29/B29</f>
        <v/>
      </c>
    </row>
    <row r="30">
      <c r="A30" t="inlineStr">
        <is>
          <t>M3</t>
        </is>
      </c>
      <c r="B30" s="26" t="n">
        <v>40</v>
      </c>
      <c r="C30" s="26" t="n">
        <v>6087.5</v>
      </c>
      <c r="D30" s="40">
        <f>C30/B30</f>
        <v/>
      </c>
    </row>
    <row r="31">
      <c r="A31" t="inlineStr">
        <is>
          <t>M4</t>
        </is>
      </c>
      <c r="B31" s="26" t="n">
        <v>40</v>
      </c>
      <c r="C31" s="26" t="n">
        <v>4422</v>
      </c>
      <c r="D31" s="40">
        <f>C31/B31</f>
        <v/>
      </c>
    </row>
  </sheetData>
  <mergeCells count="2">
    <mergeCell ref="A25:D2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3" t="inlineStr">
        <is>
          <t>MANN-WHITNEY U + HOLM-BONFERRONI + CLIFF DELTA</t>
        </is>
      </c>
    </row>
    <row r="3">
      <c r="A3" t="inlineStr">
        <is>
          <t>Convención Cliff: delta(A,B) = P(X_A&gt;X_B) - P(X_A&lt;X_B). Positivo = A tiende a ser mayor que B.</t>
        </is>
      </c>
    </row>
    <row r="5">
      <c r="A5" s="3" t="inlineStr">
        <is>
          <t>Métrica: DistMin_m</t>
        </is>
      </c>
    </row>
    <row r="6">
      <c r="A6" s="25" t="inlineStr">
        <is>
          <t>Comp.</t>
        </is>
      </c>
      <c r="B6" s="25" t="inlineStr">
        <is>
          <t>med A</t>
        </is>
      </c>
      <c r="C6" s="25" t="inlineStr">
        <is>
          <t>med B</t>
        </is>
      </c>
      <c r="D6" s="25" t="inlineStr">
        <is>
          <t>U</t>
        </is>
      </c>
      <c r="E6" s="25" t="inlineStr">
        <is>
          <t>p_raw</t>
        </is>
      </c>
      <c r="F6" s="25" t="inlineStr">
        <is>
          <t>rank Holm</t>
        </is>
      </c>
      <c r="G6" s="25" t="inlineStr">
        <is>
          <t>mult.</t>
        </is>
      </c>
      <c r="H6" s="25" t="inlineStr">
        <is>
          <t>p_Holm</t>
        </is>
      </c>
      <c r="I6" s="25" t="inlineStr">
        <is>
          <t>Cliff δ</t>
        </is>
      </c>
      <c r="J6" s="25" t="inlineStr">
        <is>
          <t>Magnitud</t>
        </is>
      </c>
      <c r="K6" s="25" t="inlineStr">
        <is>
          <t>Sig.</t>
        </is>
      </c>
    </row>
    <row r="7">
      <c r="A7" t="inlineStr">
        <is>
          <t>M0 vs M3</t>
        </is>
      </c>
      <c r="B7" s="41" t="n">
        <v>0.5555</v>
      </c>
      <c r="C7" s="41" t="n">
        <v>0.9483</v>
      </c>
      <c r="D7" s="26" t="n">
        <v>30</v>
      </c>
      <c r="E7" s="42" t="n">
        <v>1.315854340360798e-13</v>
      </c>
      <c r="F7" s="26" t="n">
        <v>1</v>
      </c>
      <c r="G7" s="26" t="n">
        <v>10</v>
      </c>
      <c r="H7" s="43">
        <f>MIN(1, E7*G7)</f>
        <v/>
      </c>
      <c r="I7" s="41" t="n">
        <v>-0.9625</v>
      </c>
      <c r="J7" s="27" t="inlineStr">
        <is>
          <t>large</t>
        </is>
      </c>
      <c r="K7" s="11">
        <f>IF(H7&lt;0.001,"***",IF(H7&lt;0.01,"**",IF(H7&lt;0.05,"*","ns")))</f>
        <v/>
      </c>
    </row>
    <row r="8">
      <c r="A8" t="inlineStr">
        <is>
          <t>M0 vs M4</t>
        </is>
      </c>
      <c r="B8" s="41" t="n">
        <v>0.5555</v>
      </c>
      <c r="C8" s="41" t="n">
        <v>0.8076000000000001</v>
      </c>
      <c r="D8" s="26" t="n">
        <v>60</v>
      </c>
      <c r="E8" s="42" t="n">
        <v>1.112316071935213e-12</v>
      </c>
      <c r="F8" s="26" t="n">
        <v>2</v>
      </c>
      <c r="G8" s="26" t="n">
        <v>9</v>
      </c>
      <c r="H8" s="43">
        <f>MIN(1, E8*G8)</f>
        <v/>
      </c>
      <c r="I8" s="41" t="n">
        <v>-0.925</v>
      </c>
      <c r="J8" s="27" t="inlineStr">
        <is>
          <t>large</t>
        </is>
      </c>
      <c r="K8" s="11">
        <f>IF(H8&lt;0.001,"***",IF(H8&lt;0.01,"**",IF(H8&lt;0.05,"*","ns")))</f>
        <v/>
      </c>
    </row>
    <row r="9">
      <c r="A9" t="inlineStr">
        <is>
          <t>M0 vs M1</t>
        </is>
      </c>
      <c r="B9" s="41" t="n">
        <v>0.5555</v>
      </c>
      <c r="C9" s="41" t="n">
        <v>0.7576000000000001</v>
      </c>
      <c r="D9" s="26" t="n">
        <v>96</v>
      </c>
      <c r="E9" s="42" t="n">
        <v>7.311694437045578e-10</v>
      </c>
      <c r="F9" s="26" t="n">
        <v>3</v>
      </c>
      <c r="G9" s="26" t="n">
        <v>8</v>
      </c>
      <c r="H9" s="43">
        <f>MIN(1, E9*G9)</f>
        <v/>
      </c>
      <c r="I9" s="41" t="n">
        <v>-0.85</v>
      </c>
      <c r="J9" s="27" t="inlineStr">
        <is>
          <t>large</t>
        </is>
      </c>
      <c r="K9" s="11">
        <f>IF(H9&lt;0.001,"***",IF(H9&lt;0.01,"**",IF(H9&lt;0.05,"*","ns")))</f>
        <v/>
      </c>
    </row>
    <row r="10">
      <c r="A10" t="inlineStr">
        <is>
          <t>M1 vs M3</t>
        </is>
      </c>
      <c r="B10" s="41" t="n">
        <v>0.7576000000000001</v>
      </c>
      <c r="C10" s="41" t="n">
        <v>0.9483</v>
      </c>
      <c r="D10" s="26" t="n">
        <v>98</v>
      </c>
      <c r="E10" s="42" t="n">
        <v>8.43187108822265e-10</v>
      </c>
      <c r="F10" s="26" t="n">
        <v>4</v>
      </c>
      <c r="G10" s="26" t="n">
        <v>7</v>
      </c>
      <c r="H10" s="43">
        <f>MIN(1, E10*G10)</f>
        <v/>
      </c>
      <c r="I10" s="41" t="n">
        <v>-0.846875</v>
      </c>
      <c r="J10" s="27" t="inlineStr">
        <is>
          <t>large</t>
        </is>
      </c>
      <c r="K10" s="11">
        <f>IF(H10&lt;0.001,"***",IF(H10&lt;0.01,"**",IF(H10&lt;0.05,"*","ns")))</f>
        <v/>
      </c>
    </row>
    <row r="11">
      <c r="A11" t="inlineStr">
        <is>
          <t>M2 vs M3</t>
        </is>
      </c>
      <c r="B11" s="41" t="n">
        <v>0.7353000000000001</v>
      </c>
      <c r="C11" s="41" t="n">
        <v>0.9483</v>
      </c>
      <c r="D11" s="26" t="n">
        <v>102</v>
      </c>
      <c r="E11" s="42" t="n">
        <v>1.120006803886108e-09</v>
      </c>
      <c r="F11" s="26" t="n">
        <v>5</v>
      </c>
      <c r="G11" s="26" t="n">
        <v>6</v>
      </c>
      <c r="H11" s="43">
        <f>MIN(1, E11*G11)</f>
        <v/>
      </c>
      <c r="I11" s="41" t="n">
        <v>-0.840625</v>
      </c>
      <c r="J11" s="27" t="inlineStr">
        <is>
          <t>large</t>
        </is>
      </c>
      <c r="K11" s="11">
        <f>IF(H11&lt;0.001,"***",IF(H11&lt;0.01,"**",IF(H11&lt;0.05,"*","ns")))</f>
        <v/>
      </c>
    </row>
    <row r="12">
      <c r="A12" t="inlineStr">
        <is>
          <t>M0 vs M2</t>
        </is>
      </c>
      <c r="B12" s="41" t="n">
        <v>0.5555</v>
      </c>
      <c r="C12" s="41" t="n">
        <v>0.7353000000000001</v>
      </c>
      <c r="D12" s="26" t="n">
        <v>108</v>
      </c>
      <c r="E12" s="42" t="n">
        <v>1.709479189312292e-09</v>
      </c>
      <c r="F12" s="26" t="n">
        <v>6</v>
      </c>
      <c r="G12" s="26" t="n">
        <v>5</v>
      </c>
      <c r="H12" s="43">
        <f>MIN(1, E12*G12)</f>
        <v/>
      </c>
      <c r="I12" s="41" t="n">
        <v>-0.83125</v>
      </c>
      <c r="J12" s="27" t="inlineStr">
        <is>
          <t>large</t>
        </is>
      </c>
      <c r="K12" s="11">
        <f>IF(H12&lt;0.001,"***",IF(H12&lt;0.01,"**",IF(H12&lt;0.05,"*","ns")))</f>
        <v/>
      </c>
    </row>
    <row r="13">
      <c r="A13" t="inlineStr">
        <is>
          <t>M3 vs M4</t>
        </is>
      </c>
      <c r="B13" s="41" t="n">
        <v>0.9483</v>
      </c>
      <c r="C13" s="41" t="n">
        <v>0.8076000000000001</v>
      </c>
      <c r="D13" s="26" t="n">
        <v>1337.5</v>
      </c>
      <c r="E13" s="42" t="n">
        <v>2.374421314106248e-07</v>
      </c>
      <c r="F13" s="26" t="n">
        <v>7</v>
      </c>
      <c r="G13" s="26" t="n">
        <v>4</v>
      </c>
      <c r="H13" s="43">
        <f>MIN(1, E13*G13)</f>
        <v/>
      </c>
      <c r="I13" s="41" t="n">
        <v>0.671875</v>
      </c>
      <c r="J13" s="27" t="inlineStr">
        <is>
          <t>large</t>
        </is>
      </c>
      <c r="K13" s="11">
        <f>IF(H13&lt;0.001,"***",IF(H13&lt;0.01,"**",IF(H13&lt;0.05,"*","ns")))</f>
        <v/>
      </c>
    </row>
    <row r="14">
      <c r="A14" t="inlineStr">
        <is>
          <t>M2 vs M4</t>
        </is>
      </c>
      <c r="B14" s="41" t="n">
        <v>0.7353000000000001</v>
      </c>
      <c r="C14" s="41" t="n">
        <v>0.8076000000000001</v>
      </c>
      <c r="D14" s="26" t="n">
        <v>373</v>
      </c>
      <c r="E14" s="42" t="n">
        <v>0.002526704139534866</v>
      </c>
      <c r="F14" s="26" t="n">
        <v>8</v>
      </c>
      <c r="G14" s="26" t="n">
        <v>3</v>
      </c>
      <c r="H14" s="43">
        <f>MIN(1, E14*G14)</f>
        <v/>
      </c>
      <c r="I14" s="41" t="n">
        <v>-0.4171875</v>
      </c>
      <c r="J14" s="27" t="inlineStr">
        <is>
          <t>medium</t>
        </is>
      </c>
      <c r="K14" s="11">
        <f>IF(H14&lt;0.001,"***",IF(H14&lt;0.01,"**",IF(H14&lt;0.05,"*","ns")))</f>
        <v/>
      </c>
    </row>
    <row r="15">
      <c r="A15" t="inlineStr">
        <is>
          <t>M1 vs M4</t>
        </is>
      </c>
      <c r="B15" s="41" t="n">
        <v>0.7576000000000001</v>
      </c>
      <c r="C15" s="41" t="n">
        <v>0.8076000000000001</v>
      </c>
      <c r="D15" s="26" t="n">
        <v>387.5</v>
      </c>
      <c r="E15" s="42" t="n">
        <v>0.004292814463937401</v>
      </c>
      <c r="F15" s="26" t="n">
        <v>9</v>
      </c>
      <c r="G15" s="26" t="n">
        <v>2</v>
      </c>
      <c r="H15" s="43">
        <f>MIN(1, E15*G15)</f>
        <v/>
      </c>
      <c r="I15" s="41" t="n">
        <v>-0.39453125</v>
      </c>
      <c r="J15" s="27" t="inlineStr">
        <is>
          <t>medium</t>
        </is>
      </c>
      <c r="K15" s="11">
        <f>IF(H15&lt;0.001,"***",IF(H15&lt;0.01,"**",IF(H15&lt;0.05,"*","ns")))</f>
        <v/>
      </c>
    </row>
    <row r="16">
      <c r="A16" t="inlineStr">
        <is>
          <t>M1 vs M2</t>
        </is>
      </c>
      <c r="B16" s="41" t="n">
        <v>0.7576000000000001</v>
      </c>
      <c r="C16" s="41" t="n">
        <v>0.7353000000000001</v>
      </c>
      <c r="D16" s="26" t="n">
        <v>532</v>
      </c>
      <c r="E16" s="42" t="n">
        <v>0.7934390277797492</v>
      </c>
      <c r="F16" s="26" t="n">
        <v>10</v>
      </c>
      <c r="G16" s="26" t="n">
        <v>1</v>
      </c>
      <c r="H16" s="43">
        <f>MIN(1, E16*G16)</f>
        <v/>
      </c>
      <c r="I16" s="41" t="n">
        <v>0.0390625</v>
      </c>
      <c r="J16" s="27" t="inlineStr">
        <is>
          <t>negligible</t>
        </is>
      </c>
      <c r="K16" s="11">
        <f>IF(H16&lt;0.001,"***",IF(H16&lt;0.01,"**",IF(H16&lt;0.05,"*","ns")))</f>
        <v/>
      </c>
    </row>
    <row r="18">
      <c r="A18" s="3" t="inlineStr">
        <is>
          <t>Métrica: TiempoPersonal_s</t>
        </is>
      </c>
    </row>
    <row r="19">
      <c r="A19" s="25" t="inlineStr">
        <is>
          <t>Comp.</t>
        </is>
      </c>
      <c r="B19" s="25" t="inlineStr">
        <is>
          <t>med A</t>
        </is>
      </c>
      <c r="C19" s="25" t="inlineStr">
        <is>
          <t>med B</t>
        </is>
      </c>
      <c r="D19" s="25" t="inlineStr">
        <is>
          <t>U</t>
        </is>
      </c>
      <c r="E19" s="25" t="inlineStr">
        <is>
          <t>p_raw</t>
        </is>
      </c>
      <c r="F19" s="25" t="inlineStr">
        <is>
          <t>rank Holm</t>
        </is>
      </c>
      <c r="G19" s="25" t="inlineStr">
        <is>
          <t>mult.</t>
        </is>
      </c>
      <c r="H19" s="25" t="inlineStr">
        <is>
          <t>p_Holm</t>
        </is>
      </c>
      <c r="I19" s="25" t="inlineStr">
        <is>
          <t>Cliff δ</t>
        </is>
      </c>
      <c r="J19" s="25" t="inlineStr">
        <is>
          <t>Magnitud</t>
        </is>
      </c>
      <c r="K19" s="25" t="inlineStr">
        <is>
          <t>Sig.</t>
        </is>
      </c>
    </row>
    <row r="20">
      <c r="A20" t="inlineStr">
        <is>
          <t>M1 vs M3</t>
        </is>
      </c>
      <c r="B20" s="41" t="n">
        <v>16.37395</v>
      </c>
      <c r="C20" s="41" t="n">
        <v>7.04915</v>
      </c>
      <c r="D20" s="26" t="n">
        <v>1104</v>
      </c>
      <c r="E20" s="42" t="n">
        <v>1.471055512906445e-07</v>
      </c>
      <c r="F20" s="26" t="n">
        <v>1</v>
      </c>
      <c r="G20" s="26" t="n">
        <v>10</v>
      </c>
      <c r="H20" s="43">
        <f>MIN(1, E20*G20)</f>
        <v/>
      </c>
      <c r="I20" s="41" t="n">
        <v>0.725</v>
      </c>
      <c r="J20" s="27" t="inlineStr">
        <is>
          <t>large</t>
        </is>
      </c>
      <c r="K20" s="11">
        <f>IF(H20&lt;0.001,"***",IF(H20&lt;0.01,"**",IF(H20&lt;0.05,"*","ns")))</f>
        <v/>
      </c>
    </row>
    <row r="21">
      <c r="A21" t="inlineStr">
        <is>
          <t>M0 vs M3</t>
        </is>
      </c>
      <c r="B21" s="41" t="n">
        <v>28.1146</v>
      </c>
      <c r="C21" s="41" t="n">
        <v>7.04915</v>
      </c>
      <c r="D21" s="26" t="n">
        <v>1292</v>
      </c>
      <c r="E21" s="42" t="n">
        <v>2.22547684903399e-06</v>
      </c>
      <c r="F21" s="26" t="n">
        <v>2</v>
      </c>
      <c r="G21" s="26" t="n">
        <v>9</v>
      </c>
      <c r="H21" s="43">
        <f>MIN(1, E21*G21)</f>
        <v/>
      </c>
      <c r="I21" s="41" t="n">
        <v>0.615</v>
      </c>
      <c r="J21" s="27" t="inlineStr">
        <is>
          <t>large</t>
        </is>
      </c>
      <c r="K21" s="11">
        <f>IF(H21&lt;0.001,"***",IF(H21&lt;0.01,"**",IF(H21&lt;0.05,"*","ns")))</f>
        <v/>
      </c>
    </row>
    <row r="22">
      <c r="A22" t="inlineStr">
        <is>
          <t>M0 vs M4</t>
        </is>
      </c>
      <c r="B22" s="41" t="n">
        <v>28.1146</v>
      </c>
      <c r="C22" s="41" t="n">
        <v>7.0213</v>
      </c>
      <c r="D22" s="26" t="n">
        <v>1171</v>
      </c>
      <c r="E22" s="42" t="n">
        <v>0.0003636359422184421</v>
      </c>
      <c r="F22" s="26" t="n">
        <v>3</v>
      </c>
      <c r="G22" s="26" t="n">
        <v>8</v>
      </c>
      <c r="H22" s="43">
        <f>MIN(1, E22*G22)</f>
        <v/>
      </c>
      <c r="I22" s="41" t="n">
        <v>0.46375</v>
      </c>
      <c r="J22" s="27" t="inlineStr">
        <is>
          <t>medium</t>
        </is>
      </c>
      <c r="K22" s="11">
        <f>IF(H22&lt;0.001,"***",IF(H22&lt;0.01,"**",IF(H22&lt;0.05,"*","ns")))</f>
        <v/>
      </c>
    </row>
    <row r="23">
      <c r="A23" t="inlineStr">
        <is>
          <t>M1 vs M4</t>
        </is>
      </c>
      <c r="B23" s="41" t="n">
        <v>16.37395</v>
      </c>
      <c r="C23" s="41" t="n">
        <v>7.0213</v>
      </c>
      <c r="D23" s="26" t="n">
        <v>951</v>
      </c>
      <c r="E23" s="42" t="n">
        <v>0.0004335732737837559</v>
      </c>
      <c r="F23" s="26" t="n">
        <v>4</v>
      </c>
      <c r="G23" s="26" t="n">
        <v>7</v>
      </c>
      <c r="H23" s="43">
        <f>MIN(1, E23*G23)</f>
        <v/>
      </c>
      <c r="I23" s="41" t="n">
        <v>0.4859375</v>
      </c>
      <c r="J23" s="27" t="inlineStr">
        <is>
          <t>large</t>
        </is>
      </c>
      <c r="K23" s="11">
        <f>IF(H23&lt;0.001,"***",IF(H23&lt;0.01,"**",IF(H23&lt;0.05,"*","ns")))</f>
        <v/>
      </c>
    </row>
    <row r="24">
      <c r="A24" t="inlineStr">
        <is>
          <t>M1 vs M2</t>
        </is>
      </c>
      <c r="B24" s="41" t="n">
        <v>16.37395</v>
      </c>
      <c r="C24" s="41" t="n">
        <v>10.82455</v>
      </c>
      <c r="D24" s="26" t="n">
        <v>759</v>
      </c>
      <c r="E24" s="42" t="n">
        <v>0.000933648462268494</v>
      </c>
      <c r="F24" s="26" t="n">
        <v>5</v>
      </c>
      <c r="G24" s="26" t="n">
        <v>6</v>
      </c>
      <c r="H24" s="43">
        <f>MIN(1, E24*G24)</f>
        <v/>
      </c>
      <c r="I24" s="41" t="n">
        <v>0.482421875</v>
      </c>
      <c r="J24" s="27" t="inlineStr">
        <is>
          <t>large</t>
        </is>
      </c>
      <c r="K24" s="11">
        <f>IF(H24&lt;0.001,"***",IF(H24&lt;0.01,"**",IF(H24&lt;0.05,"*","ns")))</f>
        <v/>
      </c>
    </row>
    <row r="25">
      <c r="A25" t="inlineStr">
        <is>
          <t>M2 vs M3</t>
        </is>
      </c>
      <c r="B25" s="41" t="n">
        <v>10.82455</v>
      </c>
      <c r="C25" s="41" t="n">
        <v>7.04915</v>
      </c>
      <c r="D25" s="26" t="n">
        <v>916</v>
      </c>
      <c r="E25" s="42" t="n">
        <v>0.00178287247587882</v>
      </c>
      <c r="F25" s="26" t="n">
        <v>6</v>
      </c>
      <c r="G25" s="26" t="n">
        <v>5</v>
      </c>
      <c r="H25" s="43">
        <f>MIN(1, E25*G25)</f>
        <v/>
      </c>
      <c r="I25" s="41" t="n">
        <v>0.43125</v>
      </c>
      <c r="J25" s="27" t="inlineStr">
        <is>
          <t>medium</t>
        </is>
      </c>
      <c r="K25" s="11">
        <f>IF(H25&lt;0.001,"***",IF(H25&lt;0.01,"**",IF(H25&lt;0.05,"*","ns")))</f>
        <v/>
      </c>
    </row>
    <row r="26">
      <c r="A26" t="inlineStr">
        <is>
          <t>M0 vs M2</t>
        </is>
      </c>
      <c r="B26" s="41" t="n">
        <v>28.1146</v>
      </c>
      <c r="C26" s="41" t="n">
        <v>10.82455</v>
      </c>
      <c r="D26" s="26" t="n">
        <v>873</v>
      </c>
      <c r="E26" s="42" t="n">
        <v>0.008418760818550183</v>
      </c>
      <c r="F26" s="26" t="n">
        <v>7</v>
      </c>
      <c r="G26" s="26" t="n">
        <v>4</v>
      </c>
      <c r="H26" s="43">
        <f>MIN(1, E26*G26)</f>
        <v/>
      </c>
      <c r="I26" s="41" t="n">
        <v>0.3640625</v>
      </c>
      <c r="J26" s="27" t="inlineStr">
        <is>
          <t>medium</t>
        </is>
      </c>
      <c r="K26" s="11">
        <f>IF(H26&lt;0.001,"***",IF(H26&lt;0.01,"**",IF(H26&lt;0.05,"*","ns")))</f>
        <v/>
      </c>
    </row>
    <row r="27">
      <c r="A27" t="inlineStr">
        <is>
          <t>M3 vs M4</t>
        </is>
      </c>
      <c r="B27" s="41" t="n">
        <v>7.04915</v>
      </c>
      <c r="C27" s="41" t="n">
        <v>7.0213</v>
      </c>
      <c r="D27" s="26" t="n">
        <v>610</v>
      </c>
      <c r="E27" s="42" t="n">
        <v>0.0679662745796856</v>
      </c>
      <c r="F27" s="26" t="n">
        <v>8</v>
      </c>
      <c r="G27" s="26" t="n">
        <v>3</v>
      </c>
      <c r="H27" s="43">
        <f>MIN(1, E27*G27)</f>
        <v/>
      </c>
      <c r="I27" s="41" t="n">
        <v>-0.2375</v>
      </c>
      <c r="J27" s="27" t="inlineStr">
        <is>
          <t>small</t>
        </is>
      </c>
      <c r="K27" s="11">
        <f>IF(H27&lt;0.001,"***",IF(H27&lt;0.01,"**",IF(H27&lt;0.05,"*","ns")))</f>
        <v/>
      </c>
    </row>
    <row r="28">
      <c r="A28" t="inlineStr">
        <is>
          <t>M2 vs M4</t>
        </is>
      </c>
      <c r="B28" s="41" t="n">
        <v>10.82455</v>
      </c>
      <c r="C28" s="41" t="n">
        <v>7.0213</v>
      </c>
      <c r="D28" s="26" t="n">
        <v>754</v>
      </c>
      <c r="E28" s="42" t="n">
        <v>0.1983577137863843</v>
      </c>
      <c r="F28" s="26" t="n">
        <v>9</v>
      </c>
      <c r="G28" s="26" t="n">
        <v>2</v>
      </c>
      <c r="H28" s="43">
        <f>MIN(1, E28*G28)</f>
        <v/>
      </c>
      <c r="I28" s="41" t="n">
        <v>0.178125</v>
      </c>
      <c r="J28" s="27" t="inlineStr">
        <is>
          <t>small</t>
        </is>
      </c>
      <c r="K28" s="11">
        <f>IF(H28&lt;0.001,"***",IF(H28&lt;0.01,"**",IF(H28&lt;0.05,"*","ns")))</f>
        <v/>
      </c>
    </row>
    <row r="29">
      <c r="A29" t="inlineStr">
        <is>
          <t>M0 vs M1</t>
        </is>
      </c>
      <c r="B29" s="41" t="n">
        <v>28.1146</v>
      </c>
      <c r="C29" s="41" t="n">
        <v>16.37395</v>
      </c>
      <c r="D29" s="26" t="n">
        <v>744</v>
      </c>
      <c r="E29" s="42" t="n">
        <v>0.2408320409459874</v>
      </c>
      <c r="F29" s="26" t="n">
        <v>10</v>
      </c>
      <c r="G29" s="26" t="n">
        <v>1</v>
      </c>
      <c r="H29" s="43">
        <f>MIN(1, E29*G29)</f>
        <v/>
      </c>
      <c r="I29" s="41" t="n">
        <v>0.1625</v>
      </c>
      <c r="J29" s="27" t="inlineStr">
        <is>
          <t>small</t>
        </is>
      </c>
      <c r="K29" s="11">
        <f>IF(H29&lt;0.001,"***",IF(H29&lt;0.01,"**",IF(H29&lt;0.05,"*","ns")))</f>
        <v/>
      </c>
    </row>
    <row r="31">
      <c r="A31" s="3" t="inlineStr">
        <is>
          <t>Métrica: NumeroStops</t>
        </is>
      </c>
    </row>
    <row r="32">
      <c r="A32" s="25" t="inlineStr">
        <is>
          <t>Comp.</t>
        </is>
      </c>
      <c r="B32" s="25" t="inlineStr">
        <is>
          <t>med A</t>
        </is>
      </c>
      <c r="C32" s="25" t="inlineStr">
        <is>
          <t>med B</t>
        </is>
      </c>
      <c r="D32" s="25" t="inlineStr">
        <is>
          <t>U</t>
        </is>
      </c>
      <c r="E32" s="25" t="inlineStr">
        <is>
          <t>p_raw</t>
        </is>
      </c>
      <c r="F32" s="25" t="inlineStr">
        <is>
          <t>rank Holm</t>
        </is>
      </c>
      <c r="G32" s="25" t="inlineStr">
        <is>
          <t>mult.</t>
        </is>
      </c>
      <c r="H32" s="25" t="inlineStr">
        <is>
          <t>p_Holm</t>
        </is>
      </c>
      <c r="I32" s="25" t="inlineStr">
        <is>
          <t>Cliff δ</t>
        </is>
      </c>
      <c r="J32" s="25" t="inlineStr">
        <is>
          <t>Magnitud</t>
        </is>
      </c>
      <c r="K32" s="25" t="inlineStr">
        <is>
          <t>Sig.</t>
        </is>
      </c>
    </row>
    <row r="33">
      <c r="A33" t="inlineStr">
        <is>
          <t>M2 vs M3</t>
        </is>
      </c>
      <c r="B33" s="41" t="n">
        <v>3</v>
      </c>
      <c r="C33" s="41" t="n">
        <v>0</v>
      </c>
      <c r="D33" s="26" t="n">
        <v>1279</v>
      </c>
      <c r="E33" s="42" t="n">
        <v>2.381321786564326e-15</v>
      </c>
      <c r="F33" s="26" t="n">
        <v>1</v>
      </c>
      <c r="G33" s="26" t="n">
        <v>10</v>
      </c>
      <c r="H33" s="43">
        <f>MIN(1, E33*G33)</f>
        <v/>
      </c>
      <c r="I33" s="41" t="n">
        <v>0.9984375</v>
      </c>
      <c r="J33" s="27" t="inlineStr">
        <is>
          <t>large</t>
        </is>
      </c>
      <c r="K33" s="11">
        <f>IF(H33&lt;0.001,"***",IF(H33&lt;0.01,"**",IF(H33&lt;0.05,"*","ns")))</f>
        <v/>
      </c>
    </row>
    <row r="34">
      <c r="A34" t="inlineStr">
        <is>
          <t>M1 vs M3</t>
        </is>
      </c>
      <c r="B34" s="41" t="n">
        <v>3</v>
      </c>
      <c r="C34" s="41" t="n">
        <v>0</v>
      </c>
      <c r="D34" s="26" t="n">
        <v>1279.5</v>
      </c>
      <c r="E34" s="42" t="n">
        <v>2.396909570522065e-15</v>
      </c>
      <c r="F34" s="26" t="n">
        <v>2</v>
      </c>
      <c r="G34" s="26" t="n">
        <v>9</v>
      </c>
      <c r="H34" s="43">
        <f>MIN(1, E34*G34)</f>
        <v/>
      </c>
      <c r="I34" s="41" t="n">
        <v>0.99921875</v>
      </c>
      <c r="J34" s="27" t="inlineStr">
        <is>
          <t>large</t>
        </is>
      </c>
      <c r="K34" s="11">
        <f>IF(H34&lt;0.001,"***",IF(H34&lt;0.01,"**",IF(H34&lt;0.05,"*","ns")))</f>
        <v/>
      </c>
    </row>
    <row r="35">
      <c r="A35" t="inlineStr">
        <is>
          <t>M0 vs M1</t>
        </is>
      </c>
      <c r="B35" s="41" t="n">
        <v>0</v>
      </c>
      <c r="C35" s="41" t="n">
        <v>3</v>
      </c>
      <c r="D35" s="26" t="n">
        <v>4</v>
      </c>
      <c r="E35" s="42" t="n">
        <v>3.77602332076977e-14</v>
      </c>
      <c r="F35" s="26" t="n">
        <v>3</v>
      </c>
      <c r="G35" s="26" t="n">
        <v>8</v>
      </c>
      <c r="H35" s="43">
        <f>MIN(1, E35*G35)</f>
        <v/>
      </c>
      <c r="I35" s="41" t="n">
        <v>-0.99375</v>
      </c>
      <c r="J35" s="27" t="inlineStr">
        <is>
          <t>large</t>
        </is>
      </c>
      <c r="K35" s="11">
        <f>IF(H35&lt;0.001,"***",IF(H35&lt;0.01,"**",IF(H35&lt;0.05,"*","ns")))</f>
        <v/>
      </c>
    </row>
    <row r="36">
      <c r="A36" t="inlineStr">
        <is>
          <t>M1 vs M4</t>
        </is>
      </c>
      <c r="B36" s="41" t="n">
        <v>3</v>
      </c>
      <c r="C36" s="41" t="n">
        <v>0</v>
      </c>
      <c r="D36" s="26" t="n">
        <v>1276</v>
      </c>
      <c r="E36" s="42" t="n">
        <v>3.77602332076977e-14</v>
      </c>
      <c r="F36" s="26" t="n">
        <v>4</v>
      </c>
      <c r="G36" s="26" t="n">
        <v>7</v>
      </c>
      <c r="H36" s="43">
        <f>MIN(1, E36*G36)</f>
        <v/>
      </c>
      <c r="I36" s="41" t="n">
        <v>0.99375</v>
      </c>
      <c r="J36" s="27" t="inlineStr">
        <is>
          <t>large</t>
        </is>
      </c>
      <c r="K36" s="11">
        <f>IF(H36&lt;0.001,"***",IF(H36&lt;0.01,"**",IF(H36&lt;0.05,"*","ns")))</f>
        <v/>
      </c>
    </row>
    <row r="37">
      <c r="A37" t="inlineStr">
        <is>
          <t>M0 vs M2</t>
        </is>
      </c>
      <c r="B37" s="41" t="n">
        <v>0</v>
      </c>
      <c r="C37" s="41" t="n">
        <v>3</v>
      </c>
      <c r="D37" s="26" t="n">
        <v>8</v>
      </c>
      <c r="E37" s="42" t="n">
        <v>5.081393798541195e-14</v>
      </c>
      <c r="F37" s="26" t="n">
        <v>5</v>
      </c>
      <c r="G37" s="26" t="n">
        <v>6</v>
      </c>
      <c r="H37" s="43">
        <f>MIN(1, E37*G37)</f>
        <v/>
      </c>
      <c r="I37" s="41" t="n">
        <v>-0.9875</v>
      </c>
      <c r="J37" s="27" t="inlineStr">
        <is>
          <t>large</t>
        </is>
      </c>
      <c r="K37" s="11">
        <f>IF(H37&lt;0.001,"***",IF(H37&lt;0.01,"**",IF(H37&lt;0.05,"*","ns")))</f>
        <v/>
      </c>
    </row>
    <row r="38">
      <c r="A38" t="inlineStr">
        <is>
          <t>M2 vs M4</t>
        </is>
      </c>
      <c r="B38" s="41" t="n">
        <v>3</v>
      </c>
      <c r="C38" s="41" t="n">
        <v>0</v>
      </c>
      <c r="D38" s="26" t="n">
        <v>1272</v>
      </c>
      <c r="E38" s="42" t="n">
        <v>5.081393798541195e-14</v>
      </c>
      <c r="F38" s="26" t="n">
        <v>6</v>
      </c>
      <c r="G38" s="26" t="n">
        <v>5</v>
      </c>
      <c r="H38" s="43">
        <f>MIN(1, E38*G38)</f>
        <v/>
      </c>
      <c r="I38" s="41" t="n">
        <v>0.9875</v>
      </c>
      <c r="J38" s="27" t="inlineStr">
        <is>
          <t>large</t>
        </is>
      </c>
      <c r="K38" s="11">
        <f>IF(H38&lt;0.001,"***",IF(H38&lt;0.01,"**",IF(H38&lt;0.05,"*","ns")))</f>
        <v/>
      </c>
    </row>
    <row r="39">
      <c r="A39" t="inlineStr">
        <is>
          <t>M0 vs M3</t>
        </is>
      </c>
      <c r="B39" s="41" t="n">
        <v>0</v>
      </c>
      <c r="C39" s="41" t="n">
        <v>0</v>
      </c>
      <c r="D39" s="26" t="n">
        <v>940</v>
      </c>
      <c r="E39" s="42" t="n">
        <v>0.01418711372322469</v>
      </c>
      <c r="F39" s="26" t="n">
        <v>7</v>
      </c>
      <c r="G39" s="26" t="n">
        <v>4</v>
      </c>
      <c r="H39" s="43">
        <f>MIN(1, E39*G39)</f>
        <v/>
      </c>
      <c r="I39" s="41" t="n">
        <v>0.175</v>
      </c>
      <c r="J39" s="27" t="inlineStr">
        <is>
          <t>small</t>
        </is>
      </c>
      <c r="K39" s="11">
        <f>IF(H39&lt;0.001,"***",IF(H39&lt;0.01,"**",IF(H39&lt;0.05,"*","ns")))</f>
        <v/>
      </c>
    </row>
    <row r="40">
      <c r="A40" t="inlineStr">
        <is>
          <t>M3 vs M4</t>
        </is>
      </c>
      <c r="B40" s="41" t="n">
        <v>0</v>
      </c>
      <c r="C40" s="41" t="n">
        <v>0</v>
      </c>
      <c r="D40" s="26" t="n">
        <v>660</v>
      </c>
      <c r="E40" s="42" t="n">
        <v>0.01418711372322469</v>
      </c>
      <c r="F40" s="26" t="n">
        <v>8</v>
      </c>
      <c r="G40" s="26" t="n">
        <v>3</v>
      </c>
      <c r="H40" s="43">
        <f>MIN(1, E40*G40)</f>
        <v/>
      </c>
      <c r="I40" s="41" t="n">
        <v>-0.175</v>
      </c>
      <c r="J40" s="27" t="inlineStr">
        <is>
          <t>small</t>
        </is>
      </c>
      <c r="K40" s="11">
        <f>IF(H40&lt;0.001,"***",IF(H40&lt;0.01,"**",IF(H40&lt;0.05,"*","ns")))</f>
        <v/>
      </c>
    </row>
    <row r="41">
      <c r="A41" t="inlineStr">
        <is>
          <t>M1 vs M2</t>
        </is>
      </c>
      <c r="B41" s="41" t="n">
        <v>3</v>
      </c>
      <c r="C41" s="41" t="n">
        <v>3</v>
      </c>
      <c r="D41" s="26" t="n">
        <v>605</v>
      </c>
      <c r="E41" s="42" t="n">
        <v>0.2005737348960894</v>
      </c>
      <c r="F41" s="26" t="n">
        <v>9</v>
      </c>
      <c r="G41" s="26" t="n">
        <v>2</v>
      </c>
      <c r="H41" s="43">
        <f>MIN(1, E41*G41)</f>
        <v/>
      </c>
      <c r="I41" s="41" t="n">
        <v>0.181640625</v>
      </c>
      <c r="J41" s="27" t="inlineStr">
        <is>
          <t>small</t>
        </is>
      </c>
      <c r="K41" s="11">
        <f>IF(H41&lt;0.001,"***",IF(H41&lt;0.01,"**",IF(H41&lt;0.05,"*","ns")))</f>
        <v/>
      </c>
    </row>
    <row r="42">
      <c r="A42" t="inlineStr">
        <is>
          <t>M0 vs M4</t>
        </is>
      </c>
      <c r="B42" s="41" t="n">
        <v>0</v>
      </c>
      <c r="C42" s="41" t="n">
        <v>0</v>
      </c>
      <c r="D42" s="26" t="n">
        <v>800</v>
      </c>
      <c r="E42" s="42" t="n">
        <v>1</v>
      </c>
      <c r="F42" s="26" t="n">
        <v>10</v>
      </c>
      <c r="G42" s="26" t="n">
        <v>1</v>
      </c>
      <c r="H42" s="43">
        <f>MIN(1, E42*G42)</f>
        <v/>
      </c>
      <c r="I42" s="41" t="n">
        <v>0</v>
      </c>
      <c r="J42" s="27" t="inlineStr">
        <is>
          <t>negligible</t>
        </is>
      </c>
      <c r="K42" s="11">
        <f>IF(H42&lt;0.001,"***",IF(H42&lt;0.01,"**",IF(H42&lt;0.05,"*","ns")))</f>
        <v/>
      </c>
    </row>
    <row r="44">
      <c r="A44" s="3" t="inlineStr">
        <is>
          <t>Métrica: VelStd_mps</t>
        </is>
      </c>
    </row>
    <row r="45">
      <c r="A45" s="25" t="inlineStr">
        <is>
          <t>Comp.</t>
        </is>
      </c>
      <c r="B45" s="25" t="inlineStr">
        <is>
          <t>med A</t>
        </is>
      </c>
      <c r="C45" s="25" t="inlineStr">
        <is>
          <t>med B</t>
        </is>
      </c>
      <c r="D45" s="25" t="inlineStr">
        <is>
          <t>U</t>
        </is>
      </c>
      <c r="E45" s="25" t="inlineStr">
        <is>
          <t>p_raw</t>
        </is>
      </c>
      <c r="F45" s="25" t="inlineStr">
        <is>
          <t>rank Holm</t>
        </is>
      </c>
      <c r="G45" s="25" t="inlineStr">
        <is>
          <t>mult.</t>
        </is>
      </c>
      <c r="H45" s="25" t="inlineStr">
        <is>
          <t>p_Holm</t>
        </is>
      </c>
      <c r="I45" s="25" t="inlineStr">
        <is>
          <t>Cliff δ</t>
        </is>
      </c>
      <c r="J45" s="25" t="inlineStr">
        <is>
          <t>Magnitud</t>
        </is>
      </c>
      <c r="K45" s="25" t="inlineStr">
        <is>
          <t>Sig.</t>
        </is>
      </c>
    </row>
    <row r="46">
      <c r="A46" t="inlineStr">
        <is>
          <t>M0 vs M3</t>
        </is>
      </c>
      <c r="B46" s="41" t="n">
        <v>0.0641245</v>
      </c>
      <c r="C46" s="41" t="n">
        <v>0.2474135</v>
      </c>
      <c r="D46" s="26" t="n">
        <v>0</v>
      </c>
      <c r="E46" s="42" t="n">
        <v>1.435085306393668e-14</v>
      </c>
      <c r="F46" s="26" t="n">
        <v>1</v>
      </c>
      <c r="G46" s="26" t="n">
        <v>10</v>
      </c>
      <c r="H46" s="43">
        <f>MIN(1, E46*G46)</f>
        <v/>
      </c>
      <c r="I46" s="41" t="n">
        <v>-1</v>
      </c>
      <c r="J46" s="27" t="inlineStr">
        <is>
          <t>large</t>
        </is>
      </c>
      <c r="K46" s="11">
        <f>IF(H46&lt;0.001,"***",IF(H46&lt;0.01,"**",IF(H46&lt;0.05,"*","ns")))</f>
        <v/>
      </c>
    </row>
    <row r="47">
      <c r="A47" t="inlineStr">
        <is>
          <t>M0 vs M4</t>
        </is>
      </c>
      <c r="B47" s="41" t="n">
        <v>0.0641245</v>
      </c>
      <c r="C47" s="41" t="n">
        <v>0.190069</v>
      </c>
      <c r="D47" s="26" t="n">
        <v>0</v>
      </c>
      <c r="E47" s="42" t="n">
        <v>1.435085306393668e-14</v>
      </c>
      <c r="F47" s="26" t="n">
        <v>2</v>
      </c>
      <c r="G47" s="26" t="n">
        <v>9</v>
      </c>
      <c r="H47" s="43">
        <f>MIN(1, E47*G47)</f>
        <v/>
      </c>
      <c r="I47" s="41" t="n">
        <v>-1</v>
      </c>
      <c r="J47" s="27" t="inlineStr">
        <is>
          <t>large</t>
        </is>
      </c>
      <c r="K47" s="11">
        <f>IF(H47&lt;0.001,"***",IF(H47&lt;0.01,"**",IF(H47&lt;0.05,"*","ns")))</f>
        <v/>
      </c>
    </row>
    <row r="48">
      <c r="A48" t="inlineStr">
        <is>
          <t>M0 vs M1</t>
        </is>
      </c>
      <c r="B48" s="41" t="n">
        <v>0.0641245</v>
      </c>
      <c r="C48" s="41" t="n">
        <v>0.369081</v>
      </c>
      <c r="D48" s="26" t="n">
        <v>0</v>
      </c>
      <c r="E48" s="42" t="n">
        <v>4.257632366821052e-13</v>
      </c>
      <c r="F48" s="26" t="n">
        <v>3</v>
      </c>
      <c r="G48" s="26" t="n">
        <v>8</v>
      </c>
      <c r="H48" s="43">
        <f>MIN(1, E48*G48)</f>
        <v/>
      </c>
      <c r="I48" s="41" t="n">
        <v>-1</v>
      </c>
      <c r="J48" s="27" t="inlineStr">
        <is>
          <t>large</t>
        </is>
      </c>
      <c r="K48" s="11">
        <f>IF(H48&lt;0.001,"***",IF(H48&lt;0.01,"**",IF(H48&lt;0.05,"*","ns")))</f>
        <v/>
      </c>
    </row>
    <row r="49">
      <c r="A49" t="inlineStr">
        <is>
          <t>M0 vs M2</t>
        </is>
      </c>
      <c r="B49" s="41" t="n">
        <v>0.0641245</v>
      </c>
      <c r="C49" s="41" t="n">
        <v>0.3778595</v>
      </c>
      <c r="D49" s="26" t="n">
        <v>0</v>
      </c>
      <c r="E49" s="42" t="n">
        <v>4.257632366821052e-13</v>
      </c>
      <c r="F49" s="26" t="n">
        <v>4</v>
      </c>
      <c r="G49" s="26" t="n">
        <v>7</v>
      </c>
      <c r="H49" s="43">
        <f>MIN(1, E49*G49)</f>
        <v/>
      </c>
      <c r="I49" s="41" t="n">
        <v>-1</v>
      </c>
      <c r="J49" s="27" t="inlineStr">
        <is>
          <t>large</t>
        </is>
      </c>
      <c r="K49" s="11">
        <f>IF(H49&lt;0.001,"***",IF(H49&lt;0.01,"**",IF(H49&lt;0.05,"*","ns")))</f>
        <v/>
      </c>
    </row>
    <row r="50">
      <c r="A50" t="inlineStr">
        <is>
          <t>M1 vs M4</t>
        </is>
      </c>
      <c r="B50" s="41" t="n">
        <v>0.369081</v>
      </c>
      <c r="C50" s="41" t="n">
        <v>0.190069</v>
      </c>
      <c r="D50" s="26" t="n">
        <v>1280</v>
      </c>
      <c r="E50" s="42" t="n">
        <v>4.257632366821052e-13</v>
      </c>
      <c r="F50" s="26" t="n">
        <v>5</v>
      </c>
      <c r="G50" s="26" t="n">
        <v>6</v>
      </c>
      <c r="H50" s="43">
        <f>MIN(1, E50*G50)</f>
        <v/>
      </c>
      <c r="I50" s="41" t="n">
        <v>1</v>
      </c>
      <c r="J50" s="27" t="inlineStr">
        <is>
          <t>large</t>
        </is>
      </c>
      <c r="K50" s="11">
        <f>IF(H50&lt;0.001,"***",IF(H50&lt;0.01,"**",IF(H50&lt;0.05,"*","ns")))</f>
        <v/>
      </c>
    </row>
    <row r="51">
      <c r="A51" t="inlineStr">
        <is>
          <t>M2 vs M3</t>
        </is>
      </c>
      <c r="B51" s="41" t="n">
        <v>0.3778595</v>
      </c>
      <c r="C51" s="41" t="n">
        <v>0.2474135</v>
      </c>
      <c r="D51" s="26" t="n">
        <v>1280</v>
      </c>
      <c r="E51" s="42" t="n">
        <v>4.257632366821052e-13</v>
      </c>
      <c r="F51" s="26" t="n">
        <v>6</v>
      </c>
      <c r="G51" s="26" t="n">
        <v>5</v>
      </c>
      <c r="H51" s="43">
        <f>MIN(1, E51*G51)</f>
        <v/>
      </c>
      <c r="I51" s="41" t="n">
        <v>1</v>
      </c>
      <c r="J51" s="27" t="inlineStr">
        <is>
          <t>large</t>
        </is>
      </c>
      <c r="K51" s="11">
        <f>IF(H51&lt;0.001,"***",IF(H51&lt;0.01,"**",IF(H51&lt;0.05,"*","ns")))</f>
        <v/>
      </c>
    </row>
    <row r="52">
      <c r="A52" t="inlineStr">
        <is>
          <t>M2 vs M4</t>
        </is>
      </c>
      <c r="B52" s="41" t="n">
        <v>0.3778595</v>
      </c>
      <c r="C52" s="41" t="n">
        <v>0.190069</v>
      </c>
      <c r="D52" s="26" t="n">
        <v>1280</v>
      </c>
      <c r="E52" s="42" t="n">
        <v>4.257632366821052e-13</v>
      </c>
      <c r="F52" s="26" t="n">
        <v>7</v>
      </c>
      <c r="G52" s="26" t="n">
        <v>4</v>
      </c>
      <c r="H52" s="43">
        <f>MIN(1, E52*G52)</f>
        <v/>
      </c>
      <c r="I52" s="41" t="n">
        <v>1</v>
      </c>
      <c r="J52" s="27" t="inlineStr">
        <is>
          <t>large</t>
        </is>
      </c>
      <c r="K52" s="11">
        <f>IF(H52&lt;0.001,"***",IF(H52&lt;0.01,"**",IF(H52&lt;0.05,"*","ns")))</f>
        <v/>
      </c>
    </row>
    <row r="53">
      <c r="A53" t="inlineStr">
        <is>
          <t>M1 vs M3</t>
        </is>
      </c>
      <c r="B53" s="41" t="n">
        <v>0.369081</v>
      </c>
      <c r="C53" s="41" t="n">
        <v>0.2474135</v>
      </c>
      <c r="D53" s="26" t="n">
        <v>1265</v>
      </c>
      <c r="E53" s="42" t="n">
        <v>1.47179501675944e-12</v>
      </c>
      <c r="F53" s="26" t="n">
        <v>8</v>
      </c>
      <c r="G53" s="26" t="n">
        <v>3</v>
      </c>
      <c r="H53" s="43">
        <f>MIN(1, E53*G53)</f>
        <v/>
      </c>
      <c r="I53" s="41" t="n">
        <v>0.9765625</v>
      </c>
      <c r="J53" s="27" t="inlineStr">
        <is>
          <t>large</t>
        </is>
      </c>
      <c r="K53" s="11">
        <f>IF(H53&lt;0.001,"***",IF(H53&lt;0.01,"**",IF(H53&lt;0.05,"*","ns")))</f>
        <v/>
      </c>
    </row>
    <row r="54">
      <c r="A54" t="inlineStr">
        <is>
          <t>M3 vs M4</t>
        </is>
      </c>
      <c r="B54" s="41" t="n">
        <v>0.2474135</v>
      </c>
      <c r="C54" s="41" t="n">
        <v>0.190069</v>
      </c>
      <c r="D54" s="26" t="n">
        <v>1419</v>
      </c>
      <c r="E54" s="42" t="n">
        <v>2.656651326615918e-09</v>
      </c>
      <c r="F54" s="26" t="n">
        <v>9</v>
      </c>
      <c r="G54" s="26" t="n">
        <v>2</v>
      </c>
      <c r="H54" s="43">
        <f>MIN(1, E54*G54)</f>
        <v/>
      </c>
      <c r="I54" s="41" t="n">
        <v>0.77375</v>
      </c>
      <c r="J54" s="27" t="inlineStr">
        <is>
          <t>large</t>
        </is>
      </c>
      <c r="K54" s="11">
        <f>IF(H54&lt;0.001,"***",IF(H54&lt;0.01,"**",IF(H54&lt;0.05,"*","ns")))</f>
        <v/>
      </c>
    </row>
    <row r="55">
      <c r="A55" t="inlineStr">
        <is>
          <t>M1 vs M2</t>
        </is>
      </c>
      <c r="B55" s="41" t="n">
        <v>0.369081</v>
      </c>
      <c r="C55" s="41" t="n">
        <v>0.3778595</v>
      </c>
      <c r="D55" s="26" t="n">
        <v>380</v>
      </c>
      <c r="E55" s="42" t="n">
        <v>0.07745110505496078</v>
      </c>
      <c r="F55" s="26" t="n">
        <v>10</v>
      </c>
      <c r="G55" s="26" t="n">
        <v>1</v>
      </c>
      <c r="H55" s="43">
        <f>MIN(1, E55*G55)</f>
        <v/>
      </c>
      <c r="I55" s="41" t="n">
        <v>-0.2578125</v>
      </c>
      <c r="J55" s="27" t="inlineStr">
        <is>
          <t>small</t>
        </is>
      </c>
      <c r="K55" s="11">
        <f>IF(H55&lt;0.001,"***",IF(H55&lt;0.01,"**",IF(H55&lt;0.05,"*","ns")))</f>
        <v/>
      </c>
    </row>
    <row r="57">
      <c r="A57" s="3" t="inlineStr">
        <is>
          <t>Métrica: TiempoTotal_s</t>
        </is>
      </c>
    </row>
    <row r="58">
      <c r="A58" s="25" t="inlineStr">
        <is>
          <t>Comp.</t>
        </is>
      </c>
      <c r="B58" s="25" t="inlineStr">
        <is>
          <t>med A</t>
        </is>
      </c>
      <c r="C58" s="25" t="inlineStr">
        <is>
          <t>med B</t>
        </is>
      </c>
      <c r="D58" s="25" t="inlineStr">
        <is>
          <t>U</t>
        </is>
      </c>
      <c r="E58" s="25" t="inlineStr">
        <is>
          <t>p_raw</t>
        </is>
      </c>
      <c r="F58" s="25" t="inlineStr">
        <is>
          <t>rank Holm</t>
        </is>
      </c>
      <c r="G58" s="25" t="inlineStr">
        <is>
          <t>mult.</t>
        </is>
      </c>
      <c r="H58" s="25" t="inlineStr">
        <is>
          <t>p_Holm</t>
        </is>
      </c>
      <c r="I58" s="25" t="inlineStr">
        <is>
          <t>Cliff δ</t>
        </is>
      </c>
      <c r="J58" s="25" t="inlineStr">
        <is>
          <t>Magnitud</t>
        </is>
      </c>
      <c r="K58" s="25" t="inlineStr">
        <is>
          <t>Sig.</t>
        </is>
      </c>
    </row>
    <row r="59">
      <c r="A59" t="inlineStr">
        <is>
          <t>M0 vs M1</t>
        </is>
      </c>
      <c r="B59" s="41" t="n">
        <v>94.011</v>
      </c>
      <c r="C59" s="41" t="n">
        <v>109.5662</v>
      </c>
      <c r="D59" s="26" t="n">
        <v>198</v>
      </c>
      <c r="E59" s="42" t="n">
        <v>5.636261817877143e-07</v>
      </c>
      <c r="F59" s="26" t="n">
        <v>1</v>
      </c>
      <c r="G59" s="26" t="n">
        <v>10</v>
      </c>
      <c r="H59" s="43">
        <f>MIN(1, E59*G59)</f>
        <v/>
      </c>
      <c r="I59" s="41" t="n">
        <v>-0.690625</v>
      </c>
      <c r="J59" s="27" t="inlineStr">
        <is>
          <t>large</t>
        </is>
      </c>
      <c r="K59" s="11">
        <f>IF(H59&lt;0.001,"***",IF(H59&lt;0.01,"**",IF(H59&lt;0.05,"*","ns")))</f>
        <v/>
      </c>
    </row>
    <row r="60">
      <c r="A60" t="inlineStr">
        <is>
          <t>M0 vs M2</t>
        </is>
      </c>
      <c r="B60" s="41" t="n">
        <v>94.011</v>
      </c>
      <c r="C60" s="41" t="n">
        <v>111.65195</v>
      </c>
      <c r="D60" s="26" t="n">
        <v>199</v>
      </c>
      <c r="E60" s="42" t="n">
        <v>5.977310723460726e-07</v>
      </c>
      <c r="F60" s="26" t="n">
        <v>2</v>
      </c>
      <c r="G60" s="26" t="n">
        <v>9</v>
      </c>
      <c r="H60" s="43">
        <f>MIN(1, E60*G60)</f>
        <v/>
      </c>
      <c r="I60" s="41" t="n">
        <v>-0.6890625</v>
      </c>
      <c r="J60" s="27" t="inlineStr">
        <is>
          <t>large</t>
        </is>
      </c>
      <c r="K60" s="11">
        <f>IF(H60&lt;0.001,"***",IF(H60&lt;0.01,"**",IF(H60&lt;0.05,"*","ns")))</f>
        <v/>
      </c>
    </row>
    <row r="61">
      <c r="A61" t="inlineStr">
        <is>
          <t>M0 vs M3</t>
        </is>
      </c>
      <c r="B61" s="41" t="n">
        <v>94.011</v>
      </c>
      <c r="C61" s="41" t="n">
        <v>114.5195</v>
      </c>
      <c r="D61" s="26" t="n">
        <v>346</v>
      </c>
      <c r="E61" s="42" t="n">
        <v>1.278190640222204e-05</v>
      </c>
      <c r="F61" s="26" t="n">
        <v>3</v>
      </c>
      <c r="G61" s="26" t="n">
        <v>8</v>
      </c>
      <c r="H61" s="43">
        <f>MIN(1, E61*G61)</f>
        <v/>
      </c>
      <c r="I61" s="41" t="n">
        <v>-0.5675</v>
      </c>
      <c r="J61" s="27" t="inlineStr">
        <is>
          <t>large</t>
        </is>
      </c>
      <c r="K61" s="11">
        <f>IF(H61&lt;0.001,"***",IF(H61&lt;0.01,"**",IF(H61&lt;0.05,"*","ns")))</f>
        <v/>
      </c>
    </row>
    <row r="62">
      <c r="A62" t="inlineStr">
        <is>
          <t>M0 vs M4</t>
        </is>
      </c>
      <c r="B62" s="41" t="n">
        <v>94.011</v>
      </c>
      <c r="C62" s="41" t="n">
        <v>108.3915</v>
      </c>
      <c r="D62" s="26" t="n">
        <v>357</v>
      </c>
      <c r="E62" s="42" t="n">
        <v>2.063024780250492e-05</v>
      </c>
      <c r="F62" s="26" t="n">
        <v>4</v>
      </c>
      <c r="G62" s="26" t="n">
        <v>7</v>
      </c>
      <c r="H62" s="43">
        <f>MIN(1, E62*G62)</f>
        <v/>
      </c>
      <c r="I62" s="41" t="n">
        <v>-0.55375</v>
      </c>
      <c r="J62" s="27" t="inlineStr">
        <is>
          <t>large</t>
        </is>
      </c>
      <c r="K62" s="11">
        <f>IF(H62&lt;0.001,"***",IF(H62&lt;0.01,"**",IF(H62&lt;0.05,"*","ns")))</f>
        <v/>
      </c>
    </row>
    <row r="63">
      <c r="A63" t="inlineStr">
        <is>
          <t>M1 vs M3</t>
        </is>
      </c>
      <c r="B63" s="41" t="n">
        <v>109.5662</v>
      </c>
      <c r="C63" s="41" t="n">
        <v>114.5195</v>
      </c>
      <c r="D63" s="26" t="n">
        <v>546</v>
      </c>
      <c r="E63" s="42" t="n">
        <v>0.2893334212981337</v>
      </c>
      <c r="F63" s="26" t="n">
        <v>5</v>
      </c>
      <c r="G63" s="26" t="n">
        <v>6</v>
      </c>
      <c r="H63" s="43">
        <f>MIN(1, E63*G63)</f>
        <v/>
      </c>
      <c r="I63" s="41" t="n">
        <v>-0.146875</v>
      </c>
      <c r="J63" s="27" t="inlineStr">
        <is>
          <t>negligible</t>
        </is>
      </c>
      <c r="K63" s="11">
        <f>IF(H63&lt;0.001,"***",IF(H63&lt;0.01,"**",IF(H63&lt;0.05,"*","ns")))</f>
        <v/>
      </c>
    </row>
    <row r="64">
      <c r="A64" t="inlineStr">
        <is>
          <t>M2 vs M3</t>
        </is>
      </c>
      <c r="B64" s="41" t="n">
        <v>111.65195</v>
      </c>
      <c r="C64" s="41" t="n">
        <v>114.5195</v>
      </c>
      <c r="D64" s="26" t="n">
        <v>564</v>
      </c>
      <c r="E64" s="42" t="n">
        <v>0.3922186515041005</v>
      </c>
      <c r="F64" s="26" t="n">
        <v>6</v>
      </c>
      <c r="G64" s="26" t="n">
        <v>5</v>
      </c>
      <c r="H64" s="43">
        <f>MIN(1, E64*G64)</f>
        <v/>
      </c>
      <c r="I64" s="41" t="n">
        <v>-0.11875</v>
      </c>
      <c r="J64" s="27" t="inlineStr">
        <is>
          <t>negligible</t>
        </is>
      </c>
      <c r="K64" s="11">
        <f>IF(H64&lt;0.001,"***",IF(H64&lt;0.01,"**",IF(H64&lt;0.05,"*","ns")))</f>
        <v/>
      </c>
    </row>
    <row r="65">
      <c r="A65" t="inlineStr">
        <is>
          <t>M3 vs M4</t>
        </is>
      </c>
      <c r="B65" s="41" t="n">
        <v>114.5195</v>
      </c>
      <c r="C65" s="41" t="n">
        <v>108.3915</v>
      </c>
      <c r="D65" s="26" t="n">
        <v>877</v>
      </c>
      <c r="E65" s="42" t="n">
        <v>0.4616567028214613</v>
      </c>
      <c r="F65" s="26" t="n">
        <v>7</v>
      </c>
      <c r="G65" s="26" t="n">
        <v>4</v>
      </c>
      <c r="H65" s="43">
        <f>MIN(1, E65*G65)</f>
        <v/>
      </c>
      <c r="I65" s="41" t="n">
        <v>0.09625</v>
      </c>
      <c r="J65" s="27" t="inlineStr">
        <is>
          <t>negligible</t>
        </is>
      </c>
      <c r="K65" s="11">
        <f>IF(H65&lt;0.001,"***",IF(H65&lt;0.01,"**",IF(H65&lt;0.05,"*","ns")))</f>
        <v/>
      </c>
    </row>
    <row r="66">
      <c r="A66" t="inlineStr">
        <is>
          <t>M1 vs M2</t>
        </is>
      </c>
      <c r="B66" s="41" t="n">
        <v>109.5662</v>
      </c>
      <c r="C66" s="41" t="n">
        <v>111.65195</v>
      </c>
      <c r="D66" s="26" t="n">
        <v>459</v>
      </c>
      <c r="E66" s="42" t="n">
        <v>0.4808565508331806</v>
      </c>
      <c r="F66" s="26" t="n">
        <v>8</v>
      </c>
      <c r="G66" s="26" t="n">
        <v>3</v>
      </c>
      <c r="H66" s="43">
        <f>MIN(1, E66*G66)</f>
        <v/>
      </c>
      <c r="I66" s="41" t="n">
        <v>-0.103515625</v>
      </c>
      <c r="J66" s="27" t="inlineStr">
        <is>
          <t>negligible</t>
        </is>
      </c>
      <c r="K66" s="11">
        <f>IF(H66&lt;0.001,"***",IF(H66&lt;0.01,"**",IF(H66&lt;0.05,"*","ns")))</f>
        <v/>
      </c>
    </row>
    <row r="67">
      <c r="A67" t="inlineStr">
        <is>
          <t>M2 vs M4</t>
        </is>
      </c>
      <c r="B67" s="41" t="n">
        <v>111.65195</v>
      </c>
      <c r="C67" s="41" t="n">
        <v>108.3915</v>
      </c>
      <c r="D67" s="26" t="n">
        <v>647</v>
      </c>
      <c r="E67" s="42" t="n">
        <v>0.9412801380957893</v>
      </c>
      <c r="F67" s="26" t="n">
        <v>9</v>
      </c>
      <c r="G67" s="26" t="n">
        <v>2</v>
      </c>
      <c r="H67" s="43">
        <f>MIN(1, E67*G67)</f>
        <v/>
      </c>
      <c r="I67" s="41" t="n">
        <v>0.0109375</v>
      </c>
      <c r="J67" s="27" t="inlineStr">
        <is>
          <t>negligible</t>
        </is>
      </c>
      <c r="K67" s="11">
        <f>IF(H67&lt;0.001,"***",IF(H67&lt;0.01,"**",IF(H67&lt;0.05,"*","ns")))</f>
        <v/>
      </c>
    </row>
    <row r="68">
      <c r="A68" t="inlineStr">
        <is>
          <t>M1 vs M4</t>
        </is>
      </c>
      <c r="B68" s="41" t="n">
        <v>109.5662</v>
      </c>
      <c r="C68" s="41" t="n">
        <v>108.3915</v>
      </c>
      <c r="D68" s="26" t="n">
        <v>643</v>
      </c>
      <c r="E68" s="42" t="n">
        <v>0.9773980357651542</v>
      </c>
      <c r="F68" s="26" t="n">
        <v>10</v>
      </c>
      <c r="G68" s="26" t="n">
        <v>1</v>
      </c>
      <c r="H68" s="43">
        <f>MIN(1, E68*G68)</f>
        <v/>
      </c>
      <c r="I68" s="41" t="n">
        <v>0.0046875</v>
      </c>
      <c r="J68" s="27" t="inlineStr">
        <is>
          <t>negligible</t>
        </is>
      </c>
      <c r="K68" s="11">
        <f>IF(H68&lt;0.001,"***",IF(H68&lt;0.01,"**",IF(H68&lt;0.05,"*","ns")))</f>
        <v/>
      </c>
    </row>
  </sheetData>
  <mergeCells count="6">
    <mergeCell ref="A18:K18"/>
    <mergeCell ref="A57:K57"/>
    <mergeCell ref="A5:K5"/>
    <mergeCell ref="A44:K44"/>
    <mergeCell ref="A1:K1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FISHER EXACTO + CHI-CUADRADO + CRAMER'S V</t>
        </is>
      </c>
    </row>
    <row r="3">
      <c r="A3" s="11" t="inlineStr">
        <is>
          <t>Tabla 5x2 de éxitos/fallos por método (200 corridas planificadas)</t>
        </is>
      </c>
    </row>
    <row r="5">
      <c r="A5" s="25" t="inlineStr">
        <is>
          <t>Método</t>
        </is>
      </c>
      <c r="B5" s="25" t="inlineStr">
        <is>
          <t>Éxitos (O)</t>
        </is>
      </c>
      <c r="C5" s="25" t="inlineStr">
        <is>
          <t>Fallos (O)</t>
        </is>
      </c>
      <c r="D5" s="25" t="inlineStr">
        <is>
          <t>Total fila R_i</t>
        </is>
      </c>
      <c r="E5" s="25" t="inlineStr">
        <is>
          <t>Esperado éxito E</t>
        </is>
      </c>
      <c r="F5" s="25" t="inlineStr">
        <is>
          <t>Esperado fallo E</t>
        </is>
      </c>
      <c r="G5" s="25" t="inlineStr">
        <is>
          <t>(O-E)²/E éxito</t>
        </is>
      </c>
      <c r="H5" s="25" t="inlineStr">
        <is>
          <t>(O-E)²/E fallo</t>
        </is>
      </c>
      <c r="I5" s="25" t="inlineStr">
        <is>
          <t>Suma fila</t>
        </is>
      </c>
    </row>
    <row r="6">
      <c r="A6" t="inlineStr">
        <is>
          <t>M0</t>
        </is>
      </c>
      <c r="B6" s="26" t="n">
        <v>40</v>
      </c>
      <c r="C6" s="26" t="n">
        <v>0</v>
      </c>
      <c r="D6" s="27">
        <f>B6+C6</f>
        <v/>
      </c>
      <c r="E6" s="29">
        <f>$D6*B$11/$D$11</f>
        <v/>
      </c>
      <c r="F6" s="29">
        <f>$D6*C$11/$D$11</f>
        <v/>
      </c>
      <c r="G6" s="29">
        <f>(B6-E6)^2/E6</f>
        <v/>
      </c>
      <c r="H6" s="29">
        <f>(C6-F6)^2/F6</f>
        <v/>
      </c>
      <c r="I6" s="29">
        <f>G6+H6</f>
        <v/>
      </c>
    </row>
    <row r="7">
      <c r="A7" t="inlineStr">
        <is>
          <t>M1</t>
        </is>
      </c>
      <c r="B7" s="26" t="n">
        <v>32</v>
      </c>
      <c r="C7" s="26" t="n">
        <v>8</v>
      </c>
      <c r="D7" s="27">
        <f>B7+C7</f>
        <v/>
      </c>
      <c r="E7" s="29">
        <f>$D7*B$11/$D$11</f>
        <v/>
      </c>
      <c r="F7" s="29">
        <f>$D7*C$11/$D$11</f>
        <v/>
      </c>
      <c r="G7" s="29">
        <f>(B7-E7)^2/E7</f>
        <v/>
      </c>
      <c r="H7" s="29">
        <f>(C7-F7)^2/F7</f>
        <v/>
      </c>
      <c r="I7" s="29">
        <f>G7+H7</f>
        <v/>
      </c>
    </row>
    <row r="8">
      <c r="A8" t="inlineStr">
        <is>
          <t>M2</t>
        </is>
      </c>
      <c r="B8" s="26" t="n">
        <v>32</v>
      </c>
      <c r="C8" s="26" t="n">
        <v>8</v>
      </c>
      <c r="D8" s="27">
        <f>B8+C8</f>
        <v/>
      </c>
      <c r="E8" s="29">
        <f>$D8*B$11/$D$11</f>
        <v/>
      </c>
      <c r="F8" s="29">
        <f>$D8*C$11/$D$11</f>
        <v/>
      </c>
      <c r="G8" s="29">
        <f>(B8-E8)^2/E8</f>
        <v/>
      </c>
      <c r="H8" s="29">
        <f>(C8-F8)^2/F8</f>
        <v/>
      </c>
      <c r="I8" s="29">
        <f>G8+H8</f>
        <v/>
      </c>
    </row>
    <row r="9">
      <c r="A9" t="inlineStr">
        <is>
          <t>M3</t>
        </is>
      </c>
      <c r="B9" s="26" t="n">
        <v>40</v>
      </c>
      <c r="C9" s="26" t="n">
        <v>0</v>
      </c>
      <c r="D9" s="27">
        <f>B9+C9</f>
        <v/>
      </c>
      <c r="E9" s="29">
        <f>$D9*B$11/$D$11</f>
        <v/>
      </c>
      <c r="F9" s="29">
        <f>$D9*C$11/$D$11</f>
        <v/>
      </c>
      <c r="G9" s="29">
        <f>(B9-E9)^2/E9</f>
        <v/>
      </c>
      <c r="H9" s="29">
        <f>(C9-F9)^2/F9</f>
        <v/>
      </c>
      <c r="I9" s="29">
        <f>G9+H9</f>
        <v/>
      </c>
    </row>
    <row r="10">
      <c r="A10" t="inlineStr">
        <is>
          <t>M4</t>
        </is>
      </c>
      <c r="B10" s="26" t="n">
        <v>40</v>
      </c>
      <c r="C10" s="26" t="n">
        <v>0</v>
      </c>
      <c r="D10" s="27">
        <f>B10+C10</f>
        <v/>
      </c>
      <c r="E10" s="29">
        <f>$D10*B$11/$D$11</f>
        <v/>
      </c>
      <c r="F10" s="29">
        <f>$D10*C$11/$D$11</f>
        <v/>
      </c>
      <c r="G10" s="29">
        <f>(B10-E10)^2/E10</f>
        <v/>
      </c>
      <c r="H10" s="29">
        <f>(C10-F10)^2/F10</f>
        <v/>
      </c>
      <c r="I10" s="29">
        <f>G10+H10</f>
        <v/>
      </c>
    </row>
    <row r="11">
      <c r="A11" s="44" t="inlineStr">
        <is>
          <t>TOTAL</t>
        </is>
      </c>
      <c r="B11" s="44">
        <f>SUM(B6:B10)</f>
        <v/>
      </c>
      <c r="C11" s="44">
        <f>SUM(C6:C10)</f>
        <v/>
      </c>
      <c r="D11" s="44">
        <f>B11+C11</f>
        <v/>
      </c>
      <c r="E11" s="45" t="n"/>
      <c r="F11" s="45" t="n"/>
      <c r="G11" s="45" t="n"/>
      <c r="H11" s="45" t="n"/>
      <c r="I11" s="44">
        <f>SUM(I6:I10)</f>
        <v/>
      </c>
    </row>
    <row r="13">
      <c r="A13" s="11" t="inlineStr">
        <is>
          <t>Estadístico chi^2:</t>
        </is>
      </c>
      <c r="B13" s="12">
        <f>I11</f>
        <v/>
      </c>
    </row>
    <row r="14">
      <c r="A14" s="11" t="inlineStr">
        <is>
          <t>Grados de libertad:</t>
        </is>
      </c>
      <c r="B14" s="26" t="n">
        <v>4</v>
      </c>
    </row>
    <row r="15">
      <c r="A15" s="11" t="inlineStr">
        <is>
          <t>p-valor (CHISQ.DIST.RT):</t>
        </is>
      </c>
      <c r="B15" s="46">
        <f>CHISQ.DIST.RT(B13,B14)</f>
        <v/>
      </c>
    </row>
    <row r="16">
      <c r="A16" s="11" t="inlineStr">
        <is>
          <t>Cramér's V:</t>
        </is>
      </c>
      <c r="B16" s="29">
        <f>SQRT(B13/D11/MIN(4,1))</f>
        <v/>
      </c>
    </row>
    <row r="18">
      <c r="A18" s="3" t="inlineStr">
        <is>
          <t>Fisher exacto: M4 vs M1 y M4 vs M2 en E4</t>
        </is>
      </c>
    </row>
    <row r="19">
      <c r="A19" s="25" t="inlineStr">
        <is>
          <t>Comparación</t>
        </is>
      </c>
      <c r="B19" s="25" t="inlineStr">
        <is>
          <t>Éxitos A</t>
        </is>
      </c>
      <c r="C19" s="25" t="inlineStr">
        <is>
          <t>Éxitos B</t>
        </is>
      </c>
      <c r="D19" s="25" t="inlineStr">
        <is>
          <t>p Fisher</t>
        </is>
      </c>
      <c r="E19" s="25" t="inlineStr">
        <is>
          <t>Sig.</t>
        </is>
      </c>
    </row>
    <row r="20">
      <c r="A20" s="5" t="inlineStr">
        <is>
          <t>M4 vs M1</t>
        </is>
      </c>
      <c r="B20" s="31" t="n">
        <v>2</v>
      </c>
      <c r="C20" s="31" t="n">
        <v>10</v>
      </c>
      <c r="D20" s="47" t="n">
        <v>0.0007144558228149558</v>
      </c>
      <c r="E20" s="6" t="inlineStr">
        <is>
          <t>***</t>
        </is>
      </c>
    </row>
    <row r="21">
      <c r="A21" s="5" t="inlineStr">
        <is>
          <t>M4 vs M2</t>
        </is>
      </c>
      <c r="B21" s="31" t="n">
        <v>2</v>
      </c>
      <c r="C21" s="31" t="n">
        <v>10</v>
      </c>
      <c r="D21" s="47" t="n">
        <v>0.0007144558228149558</v>
      </c>
      <c r="E21" s="6" t="inlineStr">
        <is>
          <t>***</t>
        </is>
      </c>
    </row>
    <row r="22">
      <c r="A22" s="5" t="inlineStr">
        <is>
          <t>M3 vs M1</t>
        </is>
      </c>
      <c r="B22" s="31" t="n">
        <v>2</v>
      </c>
      <c r="C22" s="31" t="n">
        <v>10</v>
      </c>
      <c r="D22" s="47" t="n">
        <v>0.0007144558228149558</v>
      </c>
      <c r="E22" s="6" t="inlineStr">
        <is>
          <t>***</t>
        </is>
      </c>
    </row>
    <row r="23">
      <c r="A23" s="5" t="inlineStr">
        <is>
          <t>M3 vs M2</t>
        </is>
      </c>
      <c r="B23" s="31" t="n">
        <v>2</v>
      </c>
      <c r="C23" s="31" t="n">
        <v>10</v>
      </c>
      <c r="D23" s="47" t="n">
        <v>0.0007144558228149558</v>
      </c>
      <c r="E23" s="6" t="inlineStr">
        <is>
          <t>***</t>
        </is>
      </c>
    </row>
    <row r="24">
      <c r="A24" s="5" t="inlineStr">
        <is>
          <t>M0 vs M1</t>
        </is>
      </c>
      <c r="B24" s="31" t="n">
        <v>10</v>
      </c>
      <c r="C24" s="31" t="n">
        <v>2</v>
      </c>
      <c r="D24" s="47" t="n">
        <v>0.0007144558228149558</v>
      </c>
      <c r="E24" s="6" t="inlineStr">
        <is>
          <t>***</t>
        </is>
      </c>
    </row>
    <row r="25">
      <c r="A25" s="5" t="inlineStr">
        <is>
          <t>M0 vs M2</t>
        </is>
      </c>
      <c r="B25" s="31" t="n">
        <v>10</v>
      </c>
      <c r="C25" s="31" t="n">
        <v>2</v>
      </c>
      <c r="D25" s="47" t="n">
        <v>0.0007144558228149558</v>
      </c>
      <c r="E25" s="6" t="inlineStr">
        <is>
          <t>***</t>
        </is>
      </c>
    </row>
  </sheetData>
  <mergeCells count="2">
    <mergeCell ref="A1:I1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TOPSIS A: SIN PENALIZACION DE FALLOS</t>
        </is>
      </c>
    </row>
    <row r="3">
      <c r="A3" t="inlineStr">
        <is>
          <t>Pasos del algoritmo TOPSIS:</t>
        </is>
      </c>
    </row>
    <row r="4">
      <c r="A4" t="inlineStr">
        <is>
          <t>1) Matriz de decisión X (input - azul)</t>
        </is>
      </c>
    </row>
    <row r="5">
      <c r="A5" t="inlineStr">
        <is>
          <t>2) Normalización vectorial: x_tilde_ij = x_ij / sqrt(sum_k x_kj^2) (formulas - negro)</t>
        </is>
      </c>
    </row>
    <row r="6">
      <c r="A6" t="inlineStr">
        <is>
          <t>3) Matriz ponderada V = w_j * x_tilde_ij (formulas)</t>
        </is>
      </c>
    </row>
    <row r="7">
      <c r="A7" t="inlineStr">
        <is>
          <t>4-5) Soluciones ideales A+ y A-</t>
        </is>
      </c>
    </row>
    <row r="8">
      <c r="A8" t="inlineStr">
        <is>
          <t>6-7) Distancias D+, D- (euclidiana)</t>
        </is>
      </c>
    </row>
    <row r="9">
      <c r="A9" t="inlineStr">
        <is>
          <t>8) CC = D-/(D+ + D-)</t>
        </is>
      </c>
    </row>
    <row r="11">
      <c r="A11" s="11" t="inlineStr">
        <is>
          <t>Pesos w_j:</t>
        </is>
      </c>
      <c r="B11" s="25" t="inlineStr">
        <is>
          <t>DistMin</t>
        </is>
      </c>
      <c r="C11" s="25" t="inlineStr">
        <is>
          <t>T_personal</t>
        </is>
      </c>
      <c r="D11" s="25" t="inlineStr">
        <is>
          <t>T_mision</t>
        </is>
      </c>
      <c r="E11" s="25" t="inlineStr">
        <is>
          <t>N_stop</t>
        </is>
      </c>
      <c r="F11" s="25" t="inlineStr">
        <is>
          <t>sigma_v</t>
        </is>
      </c>
      <c r="G11" s="25" t="inlineStr">
        <is>
          <t>a_max</t>
        </is>
      </c>
      <c r="H11" s="25" t="inlineStr">
        <is>
          <t>eta_s</t>
        </is>
      </c>
    </row>
    <row r="12">
      <c r="A12" s="11" t="inlineStr">
        <is>
          <t>Valor w_j</t>
        </is>
      </c>
      <c r="B12" s="26" t="n">
        <v>0.2</v>
      </c>
      <c r="C12" s="26" t="n">
        <v>0.15</v>
      </c>
      <c r="D12" s="26" t="n">
        <v>0.1</v>
      </c>
      <c r="E12" s="26" t="n">
        <v>0.15</v>
      </c>
      <c r="F12" s="26" t="n">
        <v>0.15</v>
      </c>
      <c r="G12" s="26" t="n">
        <v>0.1</v>
      </c>
      <c r="H12" s="26" t="n">
        <v>0.15</v>
      </c>
    </row>
    <row r="13">
      <c r="A13" s="11" t="inlineStr">
        <is>
          <t>Tipo</t>
        </is>
      </c>
      <c r="B13" s="27" t="inlineStr">
        <is>
          <t>benefit</t>
        </is>
      </c>
      <c r="C13" s="27" t="inlineStr">
        <is>
          <t>cost</t>
        </is>
      </c>
      <c r="D13" s="27" t="inlineStr">
        <is>
          <t>cost</t>
        </is>
      </c>
      <c r="E13" s="27" t="inlineStr">
        <is>
          <t>cost</t>
        </is>
      </c>
      <c r="F13" s="27" t="inlineStr">
        <is>
          <t>cost</t>
        </is>
      </c>
      <c r="G13" s="27" t="inlineStr">
        <is>
          <t>cost</t>
        </is>
      </c>
      <c r="H13" s="27" t="inlineStr">
        <is>
          <t>benefit</t>
        </is>
      </c>
    </row>
    <row r="14">
      <c r="A14" s="11" t="inlineStr">
        <is>
          <t>Suma w_j (debe ser 1.0):</t>
        </is>
      </c>
      <c r="B14" s="27">
        <f>SUM(B12:H12)</f>
        <v/>
      </c>
    </row>
    <row r="16">
      <c r="A16" s="3" t="inlineStr">
        <is>
          <t>MATRIZ DE DECISION X</t>
        </is>
      </c>
    </row>
    <row r="17">
      <c r="A17" s="3" t="inlineStr">
        <is>
          <t>Alt.</t>
        </is>
      </c>
      <c r="B17" s="25" t="inlineStr">
        <is>
          <t>DistMin</t>
        </is>
      </c>
      <c r="C17" s="25" t="inlineStr">
        <is>
          <t>T_personal</t>
        </is>
      </c>
      <c r="D17" s="25" t="inlineStr">
        <is>
          <t>T_mision</t>
        </is>
      </c>
      <c r="E17" s="25" t="inlineStr">
        <is>
          <t>N_stop</t>
        </is>
      </c>
      <c r="F17" s="25" t="inlineStr">
        <is>
          <t>sigma_v</t>
        </is>
      </c>
      <c r="G17" s="25" t="inlineStr">
        <is>
          <t>a_max</t>
        </is>
      </c>
      <c r="H17" s="25" t="inlineStr">
        <is>
          <t>eta_s</t>
        </is>
      </c>
    </row>
    <row r="18">
      <c r="A18" s="11" t="inlineStr">
        <is>
          <t>M0</t>
        </is>
      </c>
      <c r="B18" s="34" t="n">
        <v>0.56275</v>
      </c>
      <c r="C18" s="34" t="n">
        <v>25.3652425</v>
      </c>
      <c r="D18" s="34" t="n">
        <v>93.6306325</v>
      </c>
      <c r="E18" s="34" t="n">
        <v>0.2</v>
      </c>
      <c r="F18" s="34" t="n">
        <v>0.06628582499999999</v>
      </c>
      <c r="G18" s="34" t="n">
        <v>12.4302725</v>
      </c>
      <c r="H18" s="34" t="n">
        <v>1</v>
      </c>
    </row>
    <row r="19">
      <c r="A19" s="11" t="inlineStr">
        <is>
          <t>M1</t>
        </is>
      </c>
      <c r="B19" s="34" t="n">
        <v>0.750428125</v>
      </c>
      <c r="C19" s="34" t="n">
        <v>20.322525</v>
      </c>
      <c r="D19" s="34" t="n">
        <v>107.923003125</v>
      </c>
      <c r="E19" s="34" t="n">
        <v>9.90625</v>
      </c>
      <c r="F19" s="34" t="n">
        <v>0.378315875</v>
      </c>
      <c r="G19" s="34" t="n">
        <v>11.275328125</v>
      </c>
      <c r="H19" s="34" t="n">
        <v>0.8</v>
      </c>
    </row>
    <row r="20">
      <c r="A20" s="11" t="inlineStr">
        <is>
          <t>M2</t>
        </is>
      </c>
      <c r="B20" s="34" t="n">
        <v>0.7453093749999999</v>
      </c>
      <c r="C20" s="34" t="n">
        <v>12.428240625</v>
      </c>
      <c r="D20" s="34" t="n">
        <v>109.326784375</v>
      </c>
      <c r="E20" s="34" t="n">
        <v>3.21875</v>
      </c>
      <c r="F20" s="34" t="n">
        <v>0.41006278125</v>
      </c>
      <c r="G20" s="34" t="n">
        <v>11.010690625</v>
      </c>
      <c r="H20" s="34" t="n">
        <v>0.8</v>
      </c>
    </row>
    <row r="21">
      <c r="A21" s="11" t="inlineStr">
        <is>
          <t>M3</t>
        </is>
      </c>
      <c r="B21" s="34" t="n">
        <v>1.0037675</v>
      </c>
      <c r="C21" s="34" t="n">
        <v>7.574015</v>
      </c>
      <c r="D21" s="34" t="n">
        <v>115.043115</v>
      </c>
      <c r="E21" s="34" t="n">
        <v>0.025</v>
      </c>
      <c r="F21" s="34" t="n">
        <v>0.242783375</v>
      </c>
      <c r="G21" s="34" t="n">
        <v>9.370984999999999</v>
      </c>
      <c r="H21" s="34" t="n">
        <v>1</v>
      </c>
    </row>
    <row r="22">
      <c r="A22" s="11" t="inlineStr">
        <is>
          <t>M4</t>
        </is>
      </c>
      <c r="B22" s="34" t="n">
        <v>0.8458824999999999</v>
      </c>
      <c r="C22" s="34" t="n">
        <v>11.72021</v>
      </c>
      <c r="D22" s="34" t="n">
        <v>110.60209</v>
      </c>
      <c r="E22" s="34" t="n">
        <v>0.2</v>
      </c>
      <c r="F22" s="34" t="n">
        <v>0.1951916</v>
      </c>
      <c r="G22" s="34" t="n">
        <v>10.283765</v>
      </c>
      <c r="H22" s="34" t="n">
        <v>1</v>
      </c>
    </row>
    <row r="24">
      <c r="A24" s="11" t="inlineStr">
        <is>
          <t>Sum sq columna:</t>
        </is>
      </c>
      <c r="B24" s="29">
        <f>SUMSQ(B18:B22)</f>
        <v/>
      </c>
      <c r="C24" s="29">
        <f>SUMSQ(C18:C22)</f>
        <v/>
      </c>
      <c r="D24" s="29">
        <f>SUMSQ(D18:D22)</f>
        <v/>
      </c>
      <c r="E24" s="29">
        <f>SUMSQ(E18:E22)</f>
        <v/>
      </c>
      <c r="F24" s="29">
        <f>SUMSQ(F18:F22)</f>
        <v/>
      </c>
      <c r="G24" s="29">
        <f>SUMSQ(G18:G22)</f>
        <v/>
      </c>
      <c r="H24" s="29">
        <f>SUMSQ(H18:H22)</f>
        <v/>
      </c>
    </row>
    <row r="25">
      <c r="A25" s="11" t="inlineStr">
        <is>
          <t>Norma sqrt:</t>
        </is>
      </c>
      <c r="B25" s="29">
        <f>SQRT(B24)</f>
        <v/>
      </c>
      <c r="C25" s="29">
        <f>SQRT(C24)</f>
        <v/>
      </c>
      <c r="D25" s="29">
        <f>SQRT(D24)</f>
        <v/>
      </c>
      <c r="E25" s="29">
        <f>SQRT(E24)</f>
        <v/>
      </c>
      <c r="F25" s="29">
        <f>SQRT(F24)</f>
        <v/>
      </c>
      <c r="G25" s="29">
        <f>SQRT(G24)</f>
        <v/>
      </c>
      <c r="H25" s="29">
        <f>SQRT(H24)</f>
        <v/>
      </c>
    </row>
    <row r="27">
      <c r="A27" s="3" t="inlineStr">
        <is>
          <t>MATRIZ NORMALIZADA x_tilde</t>
        </is>
      </c>
    </row>
    <row r="28">
      <c r="A28" s="3" t="inlineStr">
        <is>
          <t>Alt.</t>
        </is>
      </c>
      <c r="B28" s="25" t="inlineStr">
        <is>
          <t>DistMin</t>
        </is>
      </c>
      <c r="C28" s="25" t="inlineStr">
        <is>
          <t>T_personal</t>
        </is>
      </c>
      <c r="D28" s="25" t="inlineStr">
        <is>
          <t>T_mision</t>
        </is>
      </c>
      <c r="E28" s="25" t="inlineStr">
        <is>
          <t>N_stop</t>
        </is>
      </c>
      <c r="F28" s="25" t="inlineStr">
        <is>
          <t>sigma_v</t>
        </is>
      </c>
      <c r="G28" s="25" t="inlineStr">
        <is>
          <t>a_max</t>
        </is>
      </c>
      <c r="H28" s="25" t="inlineStr">
        <is>
          <t>eta_s</t>
        </is>
      </c>
    </row>
    <row r="29">
      <c r="A29" s="11" t="inlineStr">
        <is>
          <t>M0</t>
        </is>
      </c>
      <c r="B29" s="29">
        <f>B18/B25</f>
        <v/>
      </c>
      <c r="C29" s="29">
        <f>C18/C25</f>
        <v/>
      </c>
      <c r="D29" s="29">
        <f>D18/D25</f>
        <v/>
      </c>
      <c r="E29" s="29">
        <f>E18/E25</f>
        <v/>
      </c>
      <c r="F29" s="29">
        <f>F18/F25</f>
        <v/>
      </c>
      <c r="G29" s="29">
        <f>G18/G25</f>
        <v/>
      </c>
      <c r="H29" s="29">
        <f>H18/H25</f>
        <v/>
      </c>
    </row>
    <row r="30">
      <c r="A30" s="11" t="inlineStr">
        <is>
          <t>M1</t>
        </is>
      </c>
      <c r="B30" s="29">
        <f>B19/B25</f>
        <v/>
      </c>
      <c r="C30" s="29">
        <f>C19/C25</f>
        <v/>
      </c>
      <c r="D30" s="29">
        <f>D19/D25</f>
        <v/>
      </c>
      <c r="E30" s="29">
        <f>E19/E25</f>
        <v/>
      </c>
      <c r="F30" s="29">
        <f>F19/F25</f>
        <v/>
      </c>
      <c r="G30" s="29">
        <f>G19/G25</f>
        <v/>
      </c>
      <c r="H30" s="29">
        <f>H19/H25</f>
        <v/>
      </c>
    </row>
    <row r="31">
      <c r="A31" s="11" t="inlineStr">
        <is>
          <t>M2</t>
        </is>
      </c>
      <c r="B31" s="29">
        <f>B20/B25</f>
        <v/>
      </c>
      <c r="C31" s="29">
        <f>C20/C25</f>
        <v/>
      </c>
      <c r="D31" s="29">
        <f>D20/D25</f>
        <v/>
      </c>
      <c r="E31" s="29">
        <f>E20/E25</f>
        <v/>
      </c>
      <c r="F31" s="29">
        <f>F20/F25</f>
        <v/>
      </c>
      <c r="G31" s="29">
        <f>G20/G25</f>
        <v/>
      </c>
      <c r="H31" s="29">
        <f>H20/H25</f>
        <v/>
      </c>
    </row>
    <row r="32">
      <c r="A32" s="11" t="inlineStr">
        <is>
          <t>M3</t>
        </is>
      </c>
      <c r="B32" s="29">
        <f>B21/B25</f>
        <v/>
      </c>
      <c r="C32" s="29">
        <f>C21/C25</f>
        <v/>
      </c>
      <c r="D32" s="29">
        <f>D21/D25</f>
        <v/>
      </c>
      <c r="E32" s="29">
        <f>E21/E25</f>
        <v/>
      </c>
      <c r="F32" s="29">
        <f>F21/F25</f>
        <v/>
      </c>
      <c r="G32" s="29">
        <f>G21/G25</f>
        <v/>
      </c>
      <c r="H32" s="29">
        <f>H21/H25</f>
        <v/>
      </c>
    </row>
    <row r="33">
      <c r="A33" s="11" t="inlineStr">
        <is>
          <t>M4</t>
        </is>
      </c>
      <c r="B33" s="29">
        <f>B22/B25</f>
        <v/>
      </c>
      <c r="C33" s="29">
        <f>C22/C25</f>
        <v/>
      </c>
      <c r="D33" s="29">
        <f>D22/D25</f>
        <v/>
      </c>
      <c r="E33" s="29">
        <f>E22/E25</f>
        <v/>
      </c>
      <c r="F33" s="29">
        <f>F22/F25</f>
        <v/>
      </c>
      <c r="G33" s="29">
        <f>G22/G25</f>
        <v/>
      </c>
      <c r="H33" s="29">
        <f>H22/H25</f>
        <v/>
      </c>
    </row>
    <row r="35">
      <c r="A35" s="3" t="inlineStr">
        <is>
          <t>MATRIZ PONDERADA V = w_j * x_tilde_ij</t>
        </is>
      </c>
    </row>
    <row r="36">
      <c r="A36" s="3" t="inlineStr">
        <is>
          <t>Alt.</t>
        </is>
      </c>
      <c r="B36" s="25" t="inlineStr">
        <is>
          <t>DistMin</t>
        </is>
      </c>
      <c r="C36" s="25" t="inlineStr">
        <is>
          <t>T_personal</t>
        </is>
      </c>
      <c r="D36" s="25" t="inlineStr">
        <is>
          <t>T_mision</t>
        </is>
      </c>
      <c r="E36" s="25" t="inlineStr">
        <is>
          <t>N_stop</t>
        </is>
      </c>
      <c r="F36" s="25" t="inlineStr">
        <is>
          <t>sigma_v</t>
        </is>
      </c>
      <c r="G36" s="25" t="inlineStr">
        <is>
          <t>a_max</t>
        </is>
      </c>
      <c r="H36" s="25" t="inlineStr">
        <is>
          <t>eta_s</t>
        </is>
      </c>
    </row>
    <row r="37">
      <c r="A37" s="11" t="inlineStr">
        <is>
          <t>M0</t>
        </is>
      </c>
      <c r="B37" s="48">
        <f>B$12*B29</f>
        <v/>
      </c>
      <c r="C37" s="48">
        <f>C$12*C29</f>
        <v/>
      </c>
      <c r="D37" s="48">
        <f>D$12*D29</f>
        <v/>
      </c>
      <c r="E37" s="48">
        <f>E$12*E29</f>
        <v/>
      </c>
      <c r="F37" s="48">
        <f>F$12*F29</f>
        <v/>
      </c>
      <c r="G37" s="48">
        <f>G$12*G29</f>
        <v/>
      </c>
      <c r="H37" s="48">
        <f>H$12*H29</f>
        <v/>
      </c>
    </row>
    <row r="38">
      <c r="A38" s="11" t="inlineStr">
        <is>
          <t>M1</t>
        </is>
      </c>
      <c r="B38" s="48">
        <f>B$12*B30</f>
        <v/>
      </c>
      <c r="C38" s="48">
        <f>C$12*C30</f>
        <v/>
      </c>
      <c r="D38" s="48">
        <f>D$12*D30</f>
        <v/>
      </c>
      <c r="E38" s="48">
        <f>E$12*E30</f>
        <v/>
      </c>
      <c r="F38" s="48">
        <f>F$12*F30</f>
        <v/>
      </c>
      <c r="G38" s="48">
        <f>G$12*G30</f>
        <v/>
      </c>
      <c r="H38" s="48">
        <f>H$12*H30</f>
        <v/>
      </c>
    </row>
    <row r="39">
      <c r="A39" s="11" t="inlineStr">
        <is>
          <t>M2</t>
        </is>
      </c>
      <c r="B39" s="48">
        <f>B$12*B31</f>
        <v/>
      </c>
      <c r="C39" s="48">
        <f>C$12*C31</f>
        <v/>
      </c>
      <c r="D39" s="48">
        <f>D$12*D31</f>
        <v/>
      </c>
      <c r="E39" s="48">
        <f>E$12*E31</f>
        <v/>
      </c>
      <c r="F39" s="48">
        <f>F$12*F31</f>
        <v/>
      </c>
      <c r="G39" s="48">
        <f>G$12*G31</f>
        <v/>
      </c>
      <c r="H39" s="48">
        <f>H$12*H31</f>
        <v/>
      </c>
    </row>
    <row r="40">
      <c r="A40" s="11" t="inlineStr">
        <is>
          <t>M3</t>
        </is>
      </c>
      <c r="B40" s="48">
        <f>B$12*B32</f>
        <v/>
      </c>
      <c r="C40" s="48">
        <f>C$12*C32</f>
        <v/>
      </c>
      <c r="D40" s="48">
        <f>D$12*D32</f>
        <v/>
      </c>
      <c r="E40" s="48">
        <f>E$12*E32</f>
        <v/>
      </c>
      <c r="F40" s="48">
        <f>F$12*F32</f>
        <v/>
      </c>
      <c r="G40" s="48">
        <f>G$12*G32</f>
        <v/>
      </c>
      <c r="H40" s="48">
        <f>H$12*H32</f>
        <v/>
      </c>
    </row>
    <row r="41">
      <c r="A41" s="11" t="inlineStr">
        <is>
          <t>M4</t>
        </is>
      </c>
      <c r="B41" s="48">
        <f>B$12*B33</f>
        <v/>
      </c>
      <c r="C41" s="48">
        <f>C$12*C33</f>
        <v/>
      </c>
      <c r="D41" s="48">
        <f>D$12*D33</f>
        <v/>
      </c>
      <c r="E41" s="48">
        <f>E$12*E33</f>
        <v/>
      </c>
      <c r="F41" s="48">
        <f>F$12*F33</f>
        <v/>
      </c>
      <c r="G41" s="48">
        <f>G$12*G33</f>
        <v/>
      </c>
      <c r="H41" s="48">
        <f>H$12*H33</f>
        <v/>
      </c>
    </row>
    <row r="43">
      <c r="A43" s="11" t="inlineStr">
        <is>
          <t>A+ (ideal positivo):</t>
        </is>
      </c>
      <c r="B43" s="48">
        <f>MAX(B37:B41)</f>
        <v/>
      </c>
      <c r="C43" s="48">
        <f>MIN(C37:C41)</f>
        <v/>
      </c>
      <c r="D43" s="48">
        <f>MIN(D37:D41)</f>
        <v/>
      </c>
      <c r="E43" s="48">
        <f>MIN(E37:E41)</f>
        <v/>
      </c>
      <c r="F43" s="48">
        <f>MIN(F37:F41)</f>
        <v/>
      </c>
      <c r="G43" s="48">
        <f>MIN(G37:G41)</f>
        <v/>
      </c>
      <c r="H43" s="48">
        <f>MAX(H37:H41)</f>
        <v/>
      </c>
    </row>
    <row r="44">
      <c r="A44" s="11" t="inlineStr">
        <is>
          <t>A- (ideal negativo):</t>
        </is>
      </c>
      <c r="B44" s="48">
        <f>MIN(B37:B41)</f>
        <v/>
      </c>
      <c r="C44" s="48">
        <f>MAX(C37:C41)</f>
        <v/>
      </c>
      <c r="D44" s="48">
        <f>MAX(D37:D41)</f>
        <v/>
      </c>
      <c r="E44" s="48">
        <f>MAX(E37:E41)</f>
        <v/>
      </c>
      <c r="F44" s="48">
        <f>MAX(F37:F41)</f>
        <v/>
      </c>
      <c r="G44" s="48">
        <f>MAX(G37:G41)</f>
        <v/>
      </c>
      <c r="H44" s="48">
        <f>MIN(H37:H41)</f>
        <v/>
      </c>
    </row>
    <row r="46">
      <c r="A46" s="3" t="inlineStr">
        <is>
          <t>DISTANCIAS Y CLOSENESS COEFFICIENT</t>
        </is>
      </c>
    </row>
    <row r="47">
      <c r="A47" s="25" t="inlineStr">
        <is>
          <t>Alt.</t>
        </is>
      </c>
      <c r="B47" s="25" t="inlineStr">
        <is>
          <t>D+</t>
        </is>
      </c>
      <c r="C47" s="25" t="inlineStr">
        <is>
          <t>D-</t>
        </is>
      </c>
      <c r="D47" s="25" t="inlineStr">
        <is>
          <t>CC</t>
        </is>
      </c>
      <c r="E47" s="25" t="inlineStr">
        <is>
          <t>Rank</t>
        </is>
      </c>
    </row>
    <row r="48">
      <c r="A48" s="11" t="inlineStr">
        <is>
          <t>M0</t>
        </is>
      </c>
      <c r="B48" s="48">
        <f>SQRT(SUMXMY2(B37:H37,$B$43:$H$43))</f>
        <v/>
      </c>
      <c r="C48" s="48">
        <f>SQRT(SUMXMY2(B37:H37,$B$44:$H$44))</f>
        <v/>
      </c>
      <c r="D48" s="29">
        <f>C48/(B48+C48)</f>
        <v/>
      </c>
      <c r="E48" s="27">
        <f>RANK(D48,$D$48:$D$52)</f>
        <v/>
      </c>
    </row>
    <row r="49">
      <c r="A49" s="11" t="inlineStr">
        <is>
          <t>M1</t>
        </is>
      </c>
      <c r="B49" s="48">
        <f>SQRT(SUMXMY2(B38:H38,$B$43:$H$43))</f>
        <v/>
      </c>
      <c r="C49" s="48">
        <f>SQRT(SUMXMY2(B38:H38,$B$44:$H$44))</f>
        <v/>
      </c>
      <c r="D49" s="29">
        <f>C49/(B49+C49)</f>
        <v/>
      </c>
      <c r="E49" s="27">
        <f>RANK(D49,$D$48:$D$52)</f>
        <v/>
      </c>
    </row>
    <row r="50">
      <c r="A50" s="11" t="inlineStr">
        <is>
          <t>M2</t>
        </is>
      </c>
      <c r="B50" s="48">
        <f>SQRT(SUMXMY2(B39:H39,$B$43:$H$43))</f>
        <v/>
      </c>
      <c r="C50" s="48">
        <f>SQRT(SUMXMY2(B39:H39,$B$44:$H$44))</f>
        <v/>
      </c>
      <c r="D50" s="29">
        <f>C50/(B50+C50)</f>
        <v/>
      </c>
      <c r="E50" s="27">
        <f>RANK(D50,$D$48:$D$52)</f>
        <v/>
      </c>
    </row>
    <row r="51">
      <c r="A51" s="11" t="inlineStr">
        <is>
          <t>M3</t>
        </is>
      </c>
      <c r="B51" s="48">
        <f>SQRT(SUMXMY2(B40:H40,$B$43:$H$43))</f>
        <v/>
      </c>
      <c r="C51" s="48">
        <f>SQRT(SUMXMY2(B40:H40,$B$44:$H$44))</f>
        <v/>
      </c>
      <c r="D51" s="29">
        <f>C51/(B51+C51)</f>
        <v/>
      </c>
      <c r="E51" s="27">
        <f>RANK(D51,$D$48:$D$52)</f>
        <v/>
      </c>
    </row>
    <row r="52">
      <c r="A52" s="11" t="inlineStr">
        <is>
          <t>M4</t>
        </is>
      </c>
      <c r="B52" s="48">
        <f>SQRT(SUMXMY2(B41:H41,$B$43:$H$43))</f>
        <v/>
      </c>
      <c r="C52" s="48">
        <f>SQRT(SUMXMY2(B41:H41,$B$44:$H$44))</f>
        <v/>
      </c>
      <c r="D52" s="29">
        <f>C52/(B52+C52)</f>
        <v/>
      </c>
      <c r="E52" s="27">
        <f>RANK(D52,$D$48:$D$52)</f>
        <v/>
      </c>
    </row>
  </sheetData>
  <mergeCells count="5">
    <mergeCell ref="A46:F46"/>
    <mergeCell ref="A35:H35"/>
    <mergeCell ref="A16:H16"/>
    <mergeCell ref="A1:H1"/>
    <mergeCell ref="A27:H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TOPSIS B: CON PENALIZACION DE FALLOS</t>
        </is>
      </c>
    </row>
    <row r="3">
      <c r="A3" t="inlineStr">
        <is>
          <t>Pasos del algoritmo TOPSIS:</t>
        </is>
      </c>
    </row>
    <row r="4">
      <c r="A4" t="inlineStr">
        <is>
          <t>1) Matriz de decisión X (input - azul)</t>
        </is>
      </c>
    </row>
    <row r="5">
      <c r="A5" t="inlineStr">
        <is>
          <t>2) Normalización vectorial: x_tilde_ij = x_ij / sqrt(sum_k x_kj^2) (formulas - negro)</t>
        </is>
      </c>
    </row>
    <row r="6">
      <c r="A6" t="inlineStr">
        <is>
          <t>3) Matriz ponderada V = w_j * x_tilde_ij (formulas)</t>
        </is>
      </c>
    </row>
    <row r="7">
      <c r="A7" t="inlineStr">
        <is>
          <t>4-5) Soluciones ideales A+ y A-</t>
        </is>
      </c>
    </row>
    <row r="8">
      <c r="A8" t="inlineStr">
        <is>
          <t>6-7) Distancias D+, D- (euclidiana)</t>
        </is>
      </c>
    </row>
    <row r="9">
      <c r="A9" t="inlineStr">
        <is>
          <t>8) CC = D-/(D+ + D-)</t>
        </is>
      </c>
    </row>
    <row r="11">
      <c r="A11" s="11" t="inlineStr">
        <is>
          <t>Pesos w_j:</t>
        </is>
      </c>
      <c r="B11" s="25" t="inlineStr">
        <is>
          <t>DistMin</t>
        </is>
      </c>
      <c r="C11" s="25" t="inlineStr">
        <is>
          <t>T_personal</t>
        </is>
      </c>
      <c r="D11" s="25" t="inlineStr">
        <is>
          <t>T_mision</t>
        </is>
      </c>
      <c r="E11" s="25" t="inlineStr">
        <is>
          <t>N_stop</t>
        </is>
      </c>
      <c r="F11" s="25" t="inlineStr">
        <is>
          <t>sigma_v</t>
        </is>
      </c>
      <c r="G11" s="25" t="inlineStr">
        <is>
          <t>a_max</t>
        </is>
      </c>
      <c r="H11" s="25" t="inlineStr">
        <is>
          <t>eta_s</t>
        </is>
      </c>
    </row>
    <row r="12">
      <c r="A12" s="11" t="inlineStr">
        <is>
          <t>Valor w_j</t>
        </is>
      </c>
      <c r="B12" s="26" t="n">
        <v>0.2</v>
      </c>
      <c r="C12" s="26" t="n">
        <v>0.15</v>
      </c>
      <c r="D12" s="26" t="n">
        <v>0.1</v>
      </c>
      <c r="E12" s="26" t="n">
        <v>0.15</v>
      </c>
      <c r="F12" s="26" t="n">
        <v>0.15</v>
      </c>
      <c r="G12" s="26" t="n">
        <v>0.1</v>
      </c>
      <c r="H12" s="26" t="n">
        <v>0.15</v>
      </c>
    </row>
    <row r="13">
      <c r="A13" s="11" t="inlineStr">
        <is>
          <t>Tipo</t>
        </is>
      </c>
      <c r="B13" s="27" t="inlineStr">
        <is>
          <t>benefit</t>
        </is>
      </c>
      <c r="C13" s="27" t="inlineStr">
        <is>
          <t>cost</t>
        </is>
      </c>
      <c r="D13" s="27" t="inlineStr">
        <is>
          <t>cost</t>
        </is>
      </c>
      <c r="E13" s="27" t="inlineStr">
        <is>
          <t>cost</t>
        </is>
      </c>
      <c r="F13" s="27" t="inlineStr">
        <is>
          <t>cost</t>
        </is>
      </c>
      <c r="G13" s="27" t="inlineStr">
        <is>
          <t>cost</t>
        </is>
      </c>
      <c r="H13" s="27" t="inlineStr">
        <is>
          <t>benefit</t>
        </is>
      </c>
    </row>
    <row r="14">
      <c r="A14" s="11" t="inlineStr">
        <is>
          <t>Suma w_j (debe ser 1.0):</t>
        </is>
      </c>
      <c r="B14" s="27">
        <f>SUM(B12:H12)</f>
        <v/>
      </c>
    </row>
    <row r="16">
      <c r="A16" s="3" t="inlineStr">
        <is>
          <t>MATRIZ DE DECISION X</t>
        </is>
      </c>
    </row>
    <row r="17">
      <c r="A17" s="3" t="inlineStr">
        <is>
          <t>Alt.</t>
        </is>
      </c>
      <c r="B17" s="25" t="inlineStr">
        <is>
          <t>DistMin</t>
        </is>
      </c>
      <c r="C17" s="25" t="inlineStr">
        <is>
          <t>T_personal</t>
        </is>
      </c>
      <c r="D17" s="25" t="inlineStr">
        <is>
          <t>T_mision</t>
        </is>
      </c>
      <c r="E17" s="25" t="inlineStr">
        <is>
          <t>N_stop</t>
        </is>
      </c>
      <c r="F17" s="25" t="inlineStr">
        <is>
          <t>sigma_v</t>
        </is>
      </c>
      <c r="G17" s="25" t="inlineStr">
        <is>
          <t>a_max</t>
        </is>
      </c>
      <c r="H17" s="25" t="inlineStr">
        <is>
          <t>eta_s</t>
        </is>
      </c>
    </row>
    <row r="18">
      <c r="A18" s="11" t="inlineStr">
        <is>
          <t>M0</t>
        </is>
      </c>
      <c r="B18" s="34" t="n">
        <v>0.56275</v>
      </c>
      <c r="C18" s="34" t="n">
        <v>25.3652425</v>
      </c>
      <c r="D18" s="34" t="n">
        <v>93.6306325</v>
      </c>
      <c r="E18" s="34" t="n">
        <v>0.2</v>
      </c>
      <c r="F18" s="34" t="n">
        <v>0.06628582499999999</v>
      </c>
      <c r="G18" s="34" t="n">
        <v>12.4302725</v>
      </c>
      <c r="H18" s="34" t="n">
        <v>1</v>
      </c>
    </row>
    <row r="19">
      <c r="A19" s="11" t="inlineStr">
        <is>
          <t>M1</t>
        </is>
      </c>
      <c r="B19" s="34" t="n">
        <v>0.6708825</v>
      </c>
      <c r="C19" s="34" t="n">
        <v>31.61744</v>
      </c>
      <c r="D19" s="34" t="n">
        <v>122.3384025</v>
      </c>
      <c r="E19" s="34" t="n">
        <v>19.125</v>
      </c>
      <c r="F19" s="34" t="n">
        <v>0.4029166999999999</v>
      </c>
      <c r="G19" s="34" t="n">
        <v>15.2172425</v>
      </c>
      <c r="H19" s="34" t="n">
        <v>0.8</v>
      </c>
    </row>
    <row r="20">
      <c r="A20" s="11" t="inlineStr">
        <is>
          <t>M2</t>
        </is>
      </c>
      <c r="B20" s="34" t="n">
        <v>0.6667875</v>
      </c>
      <c r="C20" s="34" t="n">
        <v>25.3020125</v>
      </c>
      <c r="D20" s="34" t="n">
        <v>123.4614275</v>
      </c>
      <c r="E20" s="34" t="n">
        <v>13.775</v>
      </c>
      <c r="F20" s="34" t="n">
        <v>0.428314225</v>
      </c>
      <c r="G20" s="34" t="n">
        <v>15.0055325</v>
      </c>
      <c r="H20" s="34" t="n">
        <v>0.8</v>
      </c>
    </row>
    <row r="21">
      <c r="A21" s="11" t="inlineStr">
        <is>
          <t>M3</t>
        </is>
      </c>
      <c r="B21" s="34" t="n">
        <v>1.0037675</v>
      </c>
      <c r="C21" s="34" t="n">
        <v>7.574015</v>
      </c>
      <c r="D21" s="34" t="n">
        <v>115.043115</v>
      </c>
      <c r="E21" s="34" t="n">
        <v>0.025</v>
      </c>
      <c r="F21" s="34" t="n">
        <v>0.242783375</v>
      </c>
      <c r="G21" s="34" t="n">
        <v>9.370984999999999</v>
      </c>
      <c r="H21" s="34" t="n">
        <v>1</v>
      </c>
    </row>
    <row r="22">
      <c r="A22" s="11" t="inlineStr">
        <is>
          <t>M4</t>
        </is>
      </c>
      <c r="B22" s="34" t="n">
        <v>0.8458824999999999</v>
      </c>
      <c r="C22" s="34" t="n">
        <v>11.72021</v>
      </c>
      <c r="D22" s="34" t="n">
        <v>110.60209</v>
      </c>
      <c r="E22" s="34" t="n">
        <v>0.2</v>
      </c>
      <c r="F22" s="34" t="n">
        <v>0.1951916</v>
      </c>
      <c r="G22" s="34" t="n">
        <v>10.283765</v>
      </c>
      <c r="H22" s="34" t="n">
        <v>1</v>
      </c>
    </row>
    <row r="24">
      <c r="A24" s="11" t="inlineStr">
        <is>
          <t>Sum sq columna:</t>
        </is>
      </c>
      <c r="B24" s="29">
        <f>SUMSQ(B18:B22)</f>
        <v/>
      </c>
      <c r="C24" s="29">
        <f>SUMSQ(C18:C22)</f>
        <v/>
      </c>
      <c r="D24" s="29">
        <f>SUMSQ(D18:D22)</f>
        <v/>
      </c>
      <c r="E24" s="29">
        <f>SUMSQ(E18:E22)</f>
        <v/>
      </c>
      <c r="F24" s="29">
        <f>SUMSQ(F18:F22)</f>
        <v/>
      </c>
      <c r="G24" s="29">
        <f>SUMSQ(G18:G22)</f>
        <v/>
      </c>
      <c r="H24" s="29">
        <f>SUMSQ(H18:H22)</f>
        <v/>
      </c>
    </row>
    <row r="25">
      <c r="A25" s="11" t="inlineStr">
        <is>
          <t>Norma sqrt:</t>
        </is>
      </c>
      <c r="B25" s="29">
        <f>SQRT(B24)</f>
        <v/>
      </c>
      <c r="C25" s="29">
        <f>SQRT(C24)</f>
        <v/>
      </c>
      <c r="D25" s="29">
        <f>SQRT(D24)</f>
        <v/>
      </c>
      <c r="E25" s="29">
        <f>SQRT(E24)</f>
        <v/>
      </c>
      <c r="F25" s="29">
        <f>SQRT(F24)</f>
        <v/>
      </c>
      <c r="G25" s="29">
        <f>SQRT(G24)</f>
        <v/>
      </c>
      <c r="H25" s="29">
        <f>SQRT(H24)</f>
        <v/>
      </c>
    </row>
    <row r="27">
      <c r="A27" s="3" t="inlineStr">
        <is>
          <t>MATRIZ NORMALIZADA x_tilde</t>
        </is>
      </c>
    </row>
    <row r="28">
      <c r="A28" s="3" t="inlineStr">
        <is>
          <t>Alt.</t>
        </is>
      </c>
      <c r="B28" s="25" t="inlineStr">
        <is>
          <t>DistMin</t>
        </is>
      </c>
      <c r="C28" s="25" t="inlineStr">
        <is>
          <t>T_personal</t>
        </is>
      </c>
      <c r="D28" s="25" t="inlineStr">
        <is>
          <t>T_mision</t>
        </is>
      </c>
      <c r="E28" s="25" t="inlineStr">
        <is>
          <t>N_stop</t>
        </is>
      </c>
      <c r="F28" s="25" t="inlineStr">
        <is>
          <t>sigma_v</t>
        </is>
      </c>
      <c r="G28" s="25" t="inlineStr">
        <is>
          <t>a_max</t>
        </is>
      </c>
      <c r="H28" s="25" t="inlineStr">
        <is>
          <t>eta_s</t>
        </is>
      </c>
    </row>
    <row r="29">
      <c r="A29" s="11" t="inlineStr">
        <is>
          <t>M0</t>
        </is>
      </c>
      <c r="B29" s="29">
        <f>B18/B25</f>
        <v/>
      </c>
      <c r="C29" s="29">
        <f>C18/C25</f>
        <v/>
      </c>
      <c r="D29" s="29">
        <f>D18/D25</f>
        <v/>
      </c>
      <c r="E29" s="29">
        <f>E18/E25</f>
        <v/>
      </c>
      <c r="F29" s="29">
        <f>F18/F25</f>
        <v/>
      </c>
      <c r="G29" s="29">
        <f>G18/G25</f>
        <v/>
      </c>
      <c r="H29" s="29">
        <f>H18/H25</f>
        <v/>
      </c>
    </row>
    <row r="30">
      <c r="A30" s="11" t="inlineStr">
        <is>
          <t>M1</t>
        </is>
      </c>
      <c r="B30" s="29">
        <f>B19/B25</f>
        <v/>
      </c>
      <c r="C30" s="29">
        <f>C19/C25</f>
        <v/>
      </c>
      <c r="D30" s="29">
        <f>D19/D25</f>
        <v/>
      </c>
      <c r="E30" s="29">
        <f>E19/E25</f>
        <v/>
      </c>
      <c r="F30" s="29">
        <f>F19/F25</f>
        <v/>
      </c>
      <c r="G30" s="29">
        <f>G19/G25</f>
        <v/>
      </c>
      <c r="H30" s="29">
        <f>H19/H25</f>
        <v/>
      </c>
    </row>
    <row r="31">
      <c r="A31" s="11" t="inlineStr">
        <is>
          <t>M2</t>
        </is>
      </c>
      <c r="B31" s="29">
        <f>B20/B25</f>
        <v/>
      </c>
      <c r="C31" s="29">
        <f>C20/C25</f>
        <v/>
      </c>
      <c r="D31" s="29">
        <f>D20/D25</f>
        <v/>
      </c>
      <c r="E31" s="29">
        <f>E20/E25</f>
        <v/>
      </c>
      <c r="F31" s="29">
        <f>F20/F25</f>
        <v/>
      </c>
      <c r="G31" s="29">
        <f>G20/G25</f>
        <v/>
      </c>
      <c r="H31" s="29">
        <f>H20/H25</f>
        <v/>
      </c>
    </row>
    <row r="32">
      <c r="A32" s="11" t="inlineStr">
        <is>
          <t>M3</t>
        </is>
      </c>
      <c r="B32" s="29">
        <f>B21/B25</f>
        <v/>
      </c>
      <c r="C32" s="29">
        <f>C21/C25</f>
        <v/>
      </c>
      <c r="D32" s="29">
        <f>D21/D25</f>
        <v/>
      </c>
      <c r="E32" s="29">
        <f>E21/E25</f>
        <v/>
      </c>
      <c r="F32" s="29">
        <f>F21/F25</f>
        <v/>
      </c>
      <c r="G32" s="29">
        <f>G21/G25</f>
        <v/>
      </c>
      <c r="H32" s="29">
        <f>H21/H25</f>
        <v/>
      </c>
    </row>
    <row r="33">
      <c r="A33" s="11" t="inlineStr">
        <is>
          <t>M4</t>
        </is>
      </c>
      <c r="B33" s="29">
        <f>B22/B25</f>
        <v/>
      </c>
      <c r="C33" s="29">
        <f>C22/C25</f>
        <v/>
      </c>
      <c r="D33" s="29">
        <f>D22/D25</f>
        <v/>
      </c>
      <c r="E33" s="29">
        <f>E22/E25</f>
        <v/>
      </c>
      <c r="F33" s="29">
        <f>F22/F25</f>
        <v/>
      </c>
      <c r="G33" s="29">
        <f>G22/G25</f>
        <v/>
      </c>
      <c r="H33" s="29">
        <f>H22/H25</f>
        <v/>
      </c>
    </row>
    <row r="35">
      <c r="A35" s="3" t="inlineStr">
        <is>
          <t>MATRIZ PONDERADA V = w_j * x_tilde_ij</t>
        </is>
      </c>
    </row>
    <row r="36">
      <c r="A36" s="3" t="inlineStr">
        <is>
          <t>Alt.</t>
        </is>
      </c>
      <c r="B36" s="25" t="inlineStr">
        <is>
          <t>DistMin</t>
        </is>
      </c>
      <c r="C36" s="25" t="inlineStr">
        <is>
          <t>T_personal</t>
        </is>
      </c>
      <c r="D36" s="25" t="inlineStr">
        <is>
          <t>T_mision</t>
        </is>
      </c>
      <c r="E36" s="25" t="inlineStr">
        <is>
          <t>N_stop</t>
        </is>
      </c>
      <c r="F36" s="25" t="inlineStr">
        <is>
          <t>sigma_v</t>
        </is>
      </c>
      <c r="G36" s="25" t="inlineStr">
        <is>
          <t>a_max</t>
        </is>
      </c>
      <c r="H36" s="25" t="inlineStr">
        <is>
          <t>eta_s</t>
        </is>
      </c>
    </row>
    <row r="37">
      <c r="A37" s="11" t="inlineStr">
        <is>
          <t>M0</t>
        </is>
      </c>
      <c r="B37" s="48">
        <f>B$12*B29</f>
        <v/>
      </c>
      <c r="C37" s="48">
        <f>C$12*C29</f>
        <v/>
      </c>
      <c r="D37" s="48">
        <f>D$12*D29</f>
        <v/>
      </c>
      <c r="E37" s="48">
        <f>E$12*E29</f>
        <v/>
      </c>
      <c r="F37" s="48">
        <f>F$12*F29</f>
        <v/>
      </c>
      <c r="G37" s="48">
        <f>G$12*G29</f>
        <v/>
      </c>
      <c r="H37" s="48">
        <f>H$12*H29</f>
        <v/>
      </c>
    </row>
    <row r="38">
      <c r="A38" s="11" t="inlineStr">
        <is>
          <t>M1</t>
        </is>
      </c>
      <c r="B38" s="48">
        <f>B$12*B30</f>
        <v/>
      </c>
      <c r="C38" s="48">
        <f>C$12*C30</f>
        <v/>
      </c>
      <c r="D38" s="48">
        <f>D$12*D30</f>
        <v/>
      </c>
      <c r="E38" s="48">
        <f>E$12*E30</f>
        <v/>
      </c>
      <c r="F38" s="48">
        <f>F$12*F30</f>
        <v/>
      </c>
      <c r="G38" s="48">
        <f>G$12*G30</f>
        <v/>
      </c>
      <c r="H38" s="48">
        <f>H$12*H30</f>
        <v/>
      </c>
    </row>
    <row r="39">
      <c r="A39" s="11" t="inlineStr">
        <is>
          <t>M2</t>
        </is>
      </c>
      <c r="B39" s="48">
        <f>B$12*B31</f>
        <v/>
      </c>
      <c r="C39" s="48">
        <f>C$12*C31</f>
        <v/>
      </c>
      <c r="D39" s="48">
        <f>D$12*D31</f>
        <v/>
      </c>
      <c r="E39" s="48">
        <f>E$12*E31</f>
        <v/>
      </c>
      <c r="F39" s="48">
        <f>F$12*F31</f>
        <v/>
      </c>
      <c r="G39" s="48">
        <f>G$12*G31</f>
        <v/>
      </c>
      <c r="H39" s="48">
        <f>H$12*H31</f>
        <v/>
      </c>
    </row>
    <row r="40">
      <c r="A40" s="11" t="inlineStr">
        <is>
          <t>M3</t>
        </is>
      </c>
      <c r="B40" s="48">
        <f>B$12*B32</f>
        <v/>
      </c>
      <c r="C40" s="48">
        <f>C$12*C32</f>
        <v/>
      </c>
      <c r="D40" s="48">
        <f>D$12*D32</f>
        <v/>
      </c>
      <c r="E40" s="48">
        <f>E$12*E32</f>
        <v/>
      </c>
      <c r="F40" s="48">
        <f>F$12*F32</f>
        <v/>
      </c>
      <c r="G40" s="48">
        <f>G$12*G32</f>
        <v/>
      </c>
      <c r="H40" s="48">
        <f>H$12*H32</f>
        <v/>
      </c>
    </row>
    <row r="41">
      <c r="A41" s="11" t="inlineStr">
        <is>
          <t>M4</t>
        </is>
      </c>
      <c r="B41" s="48">
        <f>B$12*B33</f>
        <v/>
      </c>
      <c r="C41" s="48">
        <f>C$12*C33</f>
        <v/>
      </c>
      <c r="D41" s="48">
        <f>D$12*D33</f>
        <v/>
      </c>
      <c r="E41" s="48">
        <f>E$12*E33</f>
        <v/>
      </c>
      <c r="F41" s="48">
        <f>F$12*F33</f>
        <v/>
      </c>
      <c r="G41" s="48">
        <f>G$12*G33</f>
        <v/>
      </c>
      <c r="H41" s="48">
        <f>H$12*H33</f>
        <v/>
      </c>
    </row>
    <row r="43">
      <c r="A43" s="11" t="inlineStr">
        <is>
          <t>A+ (ideal positivo):</t>
        </is>
      </c>
      <c r="B43" s="48">
        <f>MAX(B37:B41)</f>
        <v/>
      </c>
      <c r="C43" s="48">
        <f>MIN(C37:C41)</f>
        <v/>
      </c>
      <c r="D43" s="48">
        <f>MIN(D37:D41)</f>
        <v/>
      </c>
      <c r="E43" s="48">
        <f>MIN(E37:E41)</f>
        <v/>
      </c>
      <c r="F43" s="48">
        <f>MIN(F37:F41)</f>
        <v/>
      </c>
      <c r="G43" s="48">
        <f>MIN(G37:G41)</f>
        <v/>
      </c>
      <c r="H43" s="48">
        <f>MAX(H37:H41)</f>
        <v/>
      </c>
    </row>
    <row r="44">
      <c r="A44" s="11" t="inlineStr">
        <is>
          <t>A- (ideal negativo):</t>
        </is>
      </c>
      <c r="B44" s="48">
        <f>MIN(B37:B41)</f>
        <v/>
      </c>
      <c r="C44" s="48">
        <f>MAX(C37:C41)</f>
        <v/>
      </c>
      <c r="D44" s="48">
        <f>MAX(D37:D41)</f>
        <v/>
      </c>
      <c r="E44" s="48">
        <f>MAX(E37:E41)</f>
        <v/>
      </c>
      <c r="F44" s="48">
        <f>MAX(F37:F41)</f>
        <v/>
      </c>
      <c r="G44" s="48">
        <f>MAX(G37:G41)</f>
        <v/>
      </c>
      <c r="H44" s="48">
        <f>MIN(H37:H41)</f>
        <v/>
      </c>
    </row>
    <row r="46">
      <c r="A46" s="3" t="inlineStr">
        <is>
          <t>DISTANCIAS Y CLOSENESS COEFFICIENT</t>
        </is>
      </c>
    </row>
    <row r="47">
      <c r="A47" s="25" t="inlineStr">
        <is>
          <t>Alt.</t>
        </is>
      </c>
      <c r="B47" s="25" t="inlineStr">
        <is>
          <t>D+</t>
        </is>
      </c>
      <c r="C47" s="25" t="inlineStr">
        <is>
          <t>D-</t>
        </is>
      </c>
      <c r="D47" s="25" t="inlineStr">
        <is>
          <t>CC</t>
        </is>
      </c>
      <c r="E47" s="25" t="inlineStr">
        <is>
          <t>Rank</t>
        </is>
      </c>
    </row>
    <row r="48">
      <c r="A48" s="11" t="inlineStr">
        <is>
          <t>M0</t>
        </is>
      </c>
      <c r="B48" s="48">
        <f>SQRT(SUMXMY2(B37:H37,$B$43:$H$43))</f>
        <v/>
      </c>
      <c r="C48" s="48">
        <f>SQRT(SUMXMY2(B37:H37,$B$44:$H$44))</f>
        <v/>
      </c>
      <c r="D48" s="29">
        <f>C48/(B48+C48)</f>
        <v/>
      </c>
      <c r="E48" s="27">
        <f>RANK(D48,$D$48:$D$52)</f>
        <v/>
      </c>
    </row>
    <row r="49">
      <c r="A49" s="11" t="inlineStr">
        <is>
          <t>M1</t>
        </is>
      </c>
      <c r="B49" s="48">
        <f>SQRT(SUMXMY2(B38:H38,$B$43:$H$43))</f>
        <v/>
      </c>
      <c r="C49" s="48">
        <f>SQRT(SUMXMY2(B38:H38,$B$44:$H$44))</f>
        <v/>
      </c>
      <c r="D49" s="29">
        <f>C49/(B49+C49)</f>
        <v/>
      </c>
      <c r="E49" s="27">
        <f>RANK(D49,$D$48:$D$52)</f>
        <v/>
      </c>
    </row>
    <row r="50">
      <c r="A50" s="11" t="inlineStr">
        <is>
          <t>M2</t>
        </is>
      </c>
      <c r="B50" s="48">
        <f>SQRT(SUMXMY2(B39:H39,$B$43:$H$43))</f>
        <v/>
      </c>
      <c r="C50" s="48">
        <f>SQRT(SUMXMY2(B39:H39,$B$44:$H$44))</f>
        <v/>
      </c>
      <c r="D50" s="29">
        <f>C50/(B50+C50)</f>
        <v/>
      </c>
      <c r="E50" s="27">
        <f>RANK(D50,$D$48:$D$52)</f>
        <v/>
      </c>
    </row>
    <row r="51">
      <c r="A51" s="11" t="inlineStr">
        <is>
          <t>M3</t>
        </is>
      </c>
      <c r="B51" s="48">
        <f>SQRT(SUMXMY2(B40:H40,$B$43:$H$43))</f>
        <v/>
      </c>
      <c r="C51" s="48">
        <f>SQRT(SUMXMY2(B40:H40,$B$44:$H$44))</f>
        <v/>
      </c>
      <c r="D51" s="29">
        <f>C51/(B51+C51)</f>
        <v/>
      </c>
      <c r="E51" s="27">
        <f>RANK(D51,$D$48:$D$52)</f>
        <v/>
      </c>
    </row>
    <row r="52">
      <c r="A52" s="11" t="inlineStr">
        <is>
          <t>M4</t>
        </is>
      </c>
      <c r="B52" s="48">
        <f>SQRT(SUMXMY2(B41:H41,$B$43:$H$43))</f>
        <v/>
      </c>
      <c r="C52" s="48">
        <f>SQRT(SUMXMY2(B41:H41,$B$44:$H$44))</f>
        <v/>
      </c>
      <c r="D52" s="29">
        <f>C52/(B52+C52)</f>
        <v/>
      </c>
      <c r="E52" s="27">
        <f>RANK(D52,$D$48:$D$52)</f>
        <v/>
      </c>
    </row>
  </sheetData>
  <mergeCells count="5">
    <mergeCell ref="A46:F46"/>
    <mergeCell ref="A35:H35"/>
    <mergeCell ref="A16:H16"/>
    <mergeCell ref="A1:H1"/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MONTE CARLO: SENSIBILIDAD DE PESOS DEL TOPSIS</t>
        </is>
      </c>
    </row>
    <row r="3">
      <c r="A3" t="inlineStr">
        <is>
          <t>Procedimiento: w'_j = w_j(1+ε_j), ε_j ~ U(-eps_max, +eps_max), renormalizar.</t>
        </is>
      </c>
    </row>
    <row r="4">
      <c r="A4" t="inlineStr">
        <is>
          <t>1000 muestras por configuración. Semilla = 42.</t>
        </is>
      </c>
    </row>
    <row r="5">
      <c r="A5" t="inlineStr">
        <is>
          <t>Resultados precomputados en Python (no recalculables por fórmula porque requiere generación de aleatorios).</t>
        </is>
      </c>
    </row>
    <row r="7">
      <c r="A7" s="3" t="inlineStr">
        <is>
          <t>eps=±10%, sin pen.</t>
        </is>
      </c>
    </row>
    <row r="8">
      <c r="A8" s="4" t="inlineStr">
        <is>
          <t>Método</t>
        </is>
      </c>
      <c r="B8" s="4" t="inlineStr">
        <is>
          <t>Rank #1 %</t>
        </is>
      </c>
      <c r="C8" s="4" t="inlineStr">
        <is>
          <t>Top-2 %</t>
        </is>
      </c>
      <c r="D8" s="4" t="inlineStr">
        <is>
          <t>Mean rank</t>
        </is>
      </c>
      <c r="E8" s="4" t="inlineStr">
        <is>
          <t>SD rank</t>
        </is>
      </c>
      <c r="F8" s="4" t="inlineStr">
        <is>
          <t>Mean CC</t>
        </is>
      </c>
      <c r="G8" s="4" t="inlineStr">
        <is>
          <t>SD CC</t>
        </is>
      </c>
    </row>
    <row r="9">
      <c r="A9" s="11" t="inlineStr">
        <is>
          <t>M0</t>
        </is>
      </c>
      <c r="B9" s="49" t="n">
        <v>0</v>
      </c>
      <c r="C9" s="49" t="n">
        <v>0</v>
      </c>
      <c r="D9" s="50" t="n">
        <v>3</v>
      </c>
      <c r="E9" s="50" t="n">
        <v>0</v>
      </c>
      <c r="F9" s="34" t="n">
        <v>0.6479978519198799</v>
      </c>
      <c r="G9" s="34" t="n">
        <v>0.01465798781773258</v>
      </c>
    </row>
    <row r="10">
      <c r="A10" s="11" t="inlineStr">
        <is>
          <t>M1</t>
        </is>
      </c>
      <c r="B10" s="49" t="n">
        <v>0</v>
      </c>
      <c r="C10" s="49" t="n">
        <v>0</v>
      </c>
      <c r="D10" s="50" t="n">
        <v>5</v>
      </c>
      <c r="E10" s="50" t="n">
        <v>0</v>
      </c>
      <c r="F10" s="34" t="n">
        <v>0.1524015184795862</v>
      </c>
      <c r="G10" s="34" t="n">
        <v>0.006975464398816504</v>
      </c>
    </row>
    <row r="11">
      <c r="A11" s="11" t="inlineStr">
        <is>
          <t>M2</t>
        </is>
      </c>
      <c r="B11" s="49" t="n">
        <v>0</v>
      </c>
      <c r="C11" s="49" t="n">
        <v>0</v>
      </c>
      <c r="D11" s="50" t="n">
        <v>4</v>
      </c>
      <c r="E11" s="50" t="n">
        <v>0</v>
      </c>
      <c r="F11" s="34" t="n">
        <v>0.5254941479229137</v>
      </c>
      <c r="G11" s="34" t="n">
        <v>0.01238551406473218</v>
      </c>
    </row>
    <row r="12">
      <c r="A12" s="9" t="inlineStr">
        <is>
          <t>M3</t>
        </is>
      </c>
      <c r="B12" s="51" t="n">
        <v>0.49</v>
      </c>
      <c r="C12" s="51" t="n">
        <v>1</v>
      </c>
      <c r="D12" s="52" t="n">
        <v>1.51</v>
      </c>
      <c r="E12" s="52" t="n">
        <v>0.4998999899979995</v>
      </c>
      <c r="F12" s="36" t="n">
        <v>0.8030471811835499</v>
      </c>
      <c r="G12" s="36" t="n">
        <v>0.01053959532916244</v>
      </c>
    </row>
    <row r="13">
      <c r="A13" s="6" t="inlineStr">
        <is>
          <t>M4</t>
        </is>
      </c>
      <c r="B13" s="53" t="n">
        <v>0.51</v>
      </c>
      <c r="C13" s="53" t="n">
        <v>1</v>
      </c>
      <c r="D13" s="54" t="n">
        <v>1.49</v>
      </c>
      <c r="E13" s="54" t="n">
        <v>0.4998999899979995</v>
      </c>
      <c r="F13" s="30" t="n">
        <v>0.8033177371708194</v>
      </c>
      <c r="G13" s="30" t="n">
        <v>0.008380160215219352</v>
      </c>
    </row>
    <row r="15">
      <c r="A15" s="3" t="inlineStr">
        <is>
          <t>eps=±10%, con pen.</t>
        </is>
      </c>
    </row>
    <row r="16">
      <c r="A16" s="4" t="inlineStr">
        <is>
          <t>Método</t>
        </is>
      </c>
      <c r="B16" s="4" t="inlineStr">
        <is>
          <t>Rank #1 %</t>
        </is>
      </c>
      <c r="C16" s="4" t="inlineStr">
        <is>
          <t>Top-2 %</t>
        </is>
      </c>
      <c r="D16" s="4" t="inlineStr">
        <is>
          <t>Mean rank</t>
        </is>
      </c>
      <c r="E16" s="4" t="inlineStr">
        <is>
          <t>SD rank</t>
        </is>
      </c>
      <c r="F16" s="4" t="inlineStr">
        <is>
          <t>Mean CC</t>
        </is>
      </c>
      <c r="G16" s="4" t="inlineStr">
        <is>
          <t>SD CC</t>
        </is>
      </c>
    </row>
    <row r="17">
      <c r="A17" s="11" t="inlineStr">
        <is>
          <t>M0</t>
        </is>
      </c>
      <c r="B17" s="49" t="n">
        <v>0</v>
      </c>
      <c r="C17" s="49" t="n">
        <v>0</v>
      </c>
      <c r="D17" s="50" t="n">
        <v>3</v>
      </c>
      <c r="E17" s="50" t="n">
        <v>0</v>
      </c>
      <c r="F17" s="34" t="n">
        <v>0.6626356116668821</v>
      </c>
      <c r="G17" s="34" t="n">
        <v>0.01278412922923985</v>
      </c>
    </row>
    <row r="18">
      <c r="A18" s="11" t="inlineStr">
        <is>
          <t>M1</t>
        </is>
      </c>
      <c r="B18" s="49" t="n">
        <v>0</v>
      </c>
      <c r="C18" s="49" t="n">
        <v>0</v>
      </c>
      <c r="D18" s="50" t="n">
        <v>5</v>
      </c>
      <c r="E18" s="50" t="n">
        <v>0</v>
      </c>
      <c r="F18" s="34" t="n">
        <v>0.07648445092492429</v>
      </c>
      <c r="G18" s="34" t="n">
        <v>0.004001653421831848</v>
      </c>
    </row>
    <row r="19">
      <c r="A19" s="11" t="inlineStr">
        <is>
          <t>M2</t>
        </is>
      </c>
      <c r="B19" s="49" t="n">
        <v>0</v>
      </c>
      <c r="C19" s="49" t="n">
        <v>0</v>
      </c>
      <c r="D19" s="50" t="n">
        <v>4</v>
      </c>
      <c r="E19" s="50" t="n">
        <v>0</v>
      </c>
      <c r="F19" s="34" t="n">
        <v>0.226814033207296</v>
      </c>
      <c r="G19" s="34" t="n">
        <v>0.004645637072980832</v>
      </c>
    </row>
    <row r="20">
      <c r="A20" s="9" t="inlineStr">
        <is>
          <t>M3</t>
        </is>
      </c>
      <c r="B20" s="51" t="n">
        <v>0.219</v>
      </c>
      <c r="C20" s="51" t="n">
        <v>1</v>
      </c>
      <c r="D20" s="52" t="n">
        <v>1.781</v>
      </c>
      <c r="E20" s="52" t="n">
        <v>0.4135686158305535</v>
      </c>
      <c r="F20" s="36" t="n">
        <v>0.7967015233205629</v>
      </c>
      <c r="G20" s="36" t="n">
        <v>0.01029179124232714</v>
      </c>
    </row>
    <row r="21">
      <c r="A21" s="6" t="inlineStr">
        <is>
          <t>M4</t>
        </is>
      </c>
      <c r="B21" s="53" t="n">
        <v>0.7809999999999999</v>
      </c>
      <c r="C21" s="53" t="n">
        <v>1</v>
      </c>
      <c r="D21" s="54" t="n">
        <v>1.219</v>
      </c>
      <c r="E21" s="54" t="n">
        <v>0.4135686158305535</v>
      </c>
      <c r="F21" s="30" t="n">
        <v>0.8008602533052099</v>
      </c>
      <c r="G21" s="30" t="n">
        <v>0.007605732606885946</v>
      </c>
    </row>
    <row r="23">
      <c r="A23" s="3" t="inlineStr">
        <is>
          <t>eps=±20%, sin pen.</t>
        </is>
      </c>
    </row>
    <row r="24">
      <c r="A24" s="4" t="inlineStr">
        <is>
          <t>Método</t>
        </is>
      </c>
      <c r="B24" s="4" t="inlineStr">
        <is>
          <t>Rank #1 %</t>
        </is>
      </c>
      <c r="C24" s="4" t="inlineStr">
        <is>
          <t>Top-2 %</t>
        </is>
      </c>
      <c r="D24" s="4" t="inlineStr">
        <is>
          <t>Mean rank</t>
        </is>
      </c>
      <c r="E24" s="4" t="inlineStr">
        <is>
          <t>SD rank</t>
        </is>
      </c>
      <c r="F24" s="4" t="inlineStr">
        <is>
          <t>Mean CC</t>
        </is>
      </c>
      <c r="G24" s="4" t="inlineStr">
        <is>
          <t>SD CC</t>
        </is>
      </c>
    </row>
    <row r="25">
      <c r="A25" s="11" t="inlineStr">
        <is>
          <t>M0</t>
        </is>
      </c>
      <c r="B25" s="49" t="n">
        <v>0</v>
      </c>
      <c r="C25" s="49" t="n">
        <v>0</v>
      </c>
      <c r="D25" s="50" t="n">
        <v>3</v>
      </c>
      <c r="E25" s="50" t="n">
        <v>0</v>
      </c>
      <c r="F25" s="34" t="n">
        <v>0.6488525837684698</v>
      </c>
      <c r="G25" s="34" t="n">
        <v>0.02745346783704418</v>
      </c>
    </row>
    <row r="26">
      <c r="A26" s="11" t="inlineStr">
        <is>
          <t>M1</t>
        </is>
      </c>
      <c r="B26" s="49" t="n">
        <v>0</v>
      </c>
      <c r="C26" s="49" t="n">
        <v>0</v>
      </c>
      <c r="D26" s="50" t="n">
        <v>5</v>
      </c>
      <c r="E26" s="50" t="n">
        <v>0</v>
      </c>
      <c r="F26" s="34" t="n">
        <v>0.1522639117433205</v>
      </c>
      <c r="G26" s="34" t="n">
        <v>0.01318420076753614</v>
      </c>
    </row>
    <row r="27">
      <c r="A27" s="11" t="inlineStr">
        <is>
          <t>M2</t>
        </is>
      </c>
      <c r="B27" s="49" t="n">
        <v>0</v>
      </c>
      <c r="C27" s="49" t="n">
        <v>0</v>
      </c>
      <c r="D27" s="50" t="n">
        <v>4</v>
      </c>
      <c r="E27" s="50" t="n">
        <v>0</v>
      </c>
      <c r="F27" s="34" t="n">
        <v>0.5251937250801946</v>
      </c>
      <c r="G27" s="34" t="n">
        <v>0.02461527812454067</v>
      </c>
    </row>
    <row r="28">
      <c r="A28" s="9" t="inlineStr">
        <is>
          <t>M3</t>
        </is>
      </c>
      <c r="B28" s="51" t="n">
        <v>0.488</v>
      </c>
      <c r="C28" s="51" t="n">
        <v>1</v>
      </c>
      <c r="D28" s="52" t="n">
        <v>1.512</v>
      </c>
      <c r="E28" s="52" t="n">
        <v>0.4998559792580259</v>
      </c>
      <c r="F28" s="36" t="n">
        <v>0.8030994067078956</v>
      </c>
      <c r="G28" s="36" t="n">
        <v>0.02101594047948018</v>
      </c>
    </row>
    <row r="29">
      <c r="A29" s="6" t="inlineStr">
        <is>
          <t>M4</t>
        </is>
      </c>
      <c r="B29" s="53" t="n">
        <v>0.512</v>
      </c>
      <c r="C29" s="53" t="n">
        <v>1</v>
      </c>
      <c r="D29" s="54" t="n">
        <v>1.488</v>
      </c>
      <c r="E29" s="54" t="n">
        <v>0.4998559792580259</v>
      </c>
      <c r="F29" s="30" t="n">
        <v>0.8030611440112417</v>
      </c>
      <c r="G29" s="30" t="n">
        <v>0.01617727982841319</v>
      </c>
    </row>
    <row r="31">
      <c r="A31" s="3" t="inlineStr">
        <is>
          <t>eps=±20%, con pen.</t>
        </is>
      </c>
    </row>
    <row r="32">
      <c r="A32" s="4" t="inlineStr">
        <is>
          <t>Método</t>
        </is>
      </c>
      <c r="B32" s="4" t="inlineStr">
        <is>
          <t>Rank #1 %</t>
        </is>
      </c>
      <c r="C32" s="4" t="inlineStr">
        <is>
          <t>Top-2 %</t>
        </is>
      </c>
      <c r="D32" s="4" t="inlineStr">
        <is>
          <t>Mean rank</t>
        </is>
      </c>
      <c r="E32" s="4" t="inlineStr">
        <is>
          <t>SD rank</t>
        </is>
      </c>
      <c r="F32" s="4" t="inlineStr">
        <is>
          <t>Mean CC</t>
        </is>
      </c>
      <c r="G32" s="4" t="inlineStr">
        <is>
          <t>SD CC</t>
        </is>
      </c>
    </row>
    <row r="33">
      <c r="A33" s="11" t="inlineStr">
        <is>
          <t>M0</t>
        </is>
      </c>
      <c r="B33" s="49" t="n">
        <v>0</v>
      </c>
      <c r="C33" s="49" t="n">
        <v>0</v>
      </c>
      <c r="D33" s="50" t="n">
        <v>3</v>
      </c>
      <c r="E33" s="50" t="n">
        <v>0</v>
      </c>
      <c r="F33" s="34" t="n">
        <v>0.6620574123067341</v>
      </c>
      <c r="G33" s="34" t="n">
        <v>0.02527832673008364</v>
      </c>
    </row>
    <row r="34">
      <c r="A34" s="11" t="inlineStr">
        <is>
          <t>M1</t>
        </is>
      </c>
      <c r="B34" s="49" t="n">
        <v>0</v>
      </c>
      <c r="C34" s="49" t="n">
        <v>0</v>
      </c>
      <c r="D34" s="50" t="n">
        <v>5</v>
      </c>
      <c r="E34" s="50" t="n">
        <v>0</v>
      </c>
      <c r="F34" s="34" t="n">
        <v>0.0764808119081621</v>
      </c>
      <c r="G34" s="34" t="n">
        <v>0.007654711148609564</v>
      </c>
    </row>
    <row r="35">
      <c r="A35" s="11" t="inlineStr">
        <is>
          <t>M2</t>
        </is>
      </c>
      <c r="B35" s="49" t="n">
        <v>0</v>
      </c>
      <c r="C35" s="49" t="n">
        <v>0</v>
      </c>
      <c r="D35" s="50" t="n">
        <v>4</v>
      </c>
      <c r="E35" s="50" t="n">
        <v>0</v>
      </c>
      <c r="F35" s="34" t="n">
        <v>0.2267107491289369</v>
      </c>
      <c r="G35" s="34" t="n">
        <v>0.009289628946943232</v>
      </c>
    </row>
    <row r="36">
      <c r="A36" s="9" t="inlineStr">
        <is>
          <t>M3</t>
        </is>
      </c>
      <c r="B36" s="51" t="n">
        <v>0.358</v>
      </c>
      <c r="C36" s="51" t="n">
        <v>1</v>
      </c>
      <c r="D36" s="52" t="n">
        <v>1.642</v>
      </c>
      <c r="E36" s="52" t="n">
        <v>0.4794121400215058</v>
      </c>
      <c r="F36" s="36" t="n">
        <v>0.7973511393796485</v>
      </c>
      <c r="G36" s="36" t="n">
        <v>0.02052465811460465</v>
      </c>
    </row>
    <row r="37">
      <c r="A37" s="6" t="inlineStr">
        <is>
          <t>M4</t>
        </is>
      </c>
      <c r="B37" s="53" t="n">
        <v>0.642</v>
      </c>
      <c r="C37" s="53" t="n">
        <v>1</v>
      </c>
      <c r="D37" s="54" t="n">
        <v>1.358</v>
      </c>
      <c r="E37" s="54" t="n">
        <v>0.4794121400215058</v>
      </c>
      <c r="F37" s="30" t="n">
        <v>0.8007498543449021</v>
      </c>
      <c r="G37" s="30" t="n">
        <v>0.01520746449801465</v>
      </c>
    </row>
  </sheetData>
  <mergeCells count="5">
    <mergeCell ref="A15:H15"/>
    <mergeCell ref="A7:H7"/>
    <mergeCell ref="A1:H1"/>
    <mergeCell ref="A23:H2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2026-05-04T19:38:11Z</dcterms:created>
  <dcterms:modified xmlns:dcterms="http://purl.org/dc/terms/" xmlns:xsi="http://www.w3.org/2001/XMLSchema-instance" xsi:type="dcterms:W3CDTF">2026-05-04T19:38:12Z</dcterms:modified>
</cp:coreProperties>
</file>